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Cko\Desktop\"/>
    </mc:Choice>
  </mc:AlternateContent>
  <bookViews>
    <workbookView xWindow="0" yWindow="0" windowWidth="14610" windowHeight="6555"/>
  </bookViews>
  <sheets>
    <sheet name="thompson_sampling" sheetId="1" r:id="rId1"/>
  </sheets>
  <calcPr calcId="162913"/>
</workbook>
</file>

<file path=xl/calcChain.xml><?xml version="1.0" encoding="utf-8"?>
<calcChain xmlns="http://schemas.openxmlformats.org/spreadsheetml/2006/main">
  <c r="B433" i="1" l="1"/>
  <c r="B428" i="1"/>
  <c r="B423" i="1"/>
  <c r="B418" i="1"/>
  <c r="B413" i="1"/>
  <c r="B408" i="1"/>
  <c r="B403" i="1"/>
  <c r="B398" i="1"/>
  <c r="B393" i="1"/>
  <c r="B388" i="1"/>
  <c r="B383" i="1"/>
  <c r="B378" i="1"/>
  <c r="B373" i="1"/>
  <c r="B368" i="1"/>
  <c r="B363" i="1"/>
  <c r="B358" i="1"/>
  <c r="B353" i="1"/>
  <c r="B348" i="1"/>
  <c r="B343" i="1"/>
  <c r="B338" i="1"/>
  <c r="B333" i="1"/>
  <c r="B328" i="1"/>
  <c r="B323" i="1"/>
  <c r="B318" i="1"/>
  <c r="B313" i="1"/>
  <c r="B308" i="1"/>
  <c r="B303" i="1"/>
  <c r="B298" i="1"/>
  <c r="B293" i="1"/>
  <c r="B288" i="1"/>
  <c r="B283" i="1"/>
  <c r="B278" i="1"/>
  <c r="B273" i="1"/>
  <c r="B268" i="1"/>
  <c r="B263" i="1"/>
  <c r="B258" i="1"/>
  <c r="B253" i="1"/>
  <c r="B248" i="1"/>
  <c r="B243" i="1"/>
  <c r="B238" i="1"/>
  <c r="B233" i="1"/>
  <c r="B228" i="1"/>
  <c r="B223" i="1"/>
  <c r="B218" i="1"/>
  <c r="B213" i="1"/>
  <c r="B208" i="1"/>
  <c r="B203" i="1"/>
  <c r="B198" i="1"/>
  <c r="B193" i="1"/>
  <c r="B188" i="1"/>
  <c r="B183" i="1"/>
  <c r="B178" i="1"/>
  <c r="B173" i="1"/>
  <c r="B168" i="1"/>
  <c r="B163" i="1"/>
  <c r="B158" i="1"/>
  <c r="B153" i="1"/>
  <c r="B148" i="1"/>
  <c r="B143" i="1"/>
  <c r="B138" i="1"/>
  <c r="B133" i="1"/>
  <c r="B128" i="1"/>
  <c r="B123" i="1"/>
  <c r="B118" i="1"/>
  <c r="B113" i="1"/>
  <c r="B108" i="1"/>
  <c r="B103" i="1"/>
  <c r="B98" i="1"/>
  <c r="B93" i="1"/>
  <c r="B88" i="1"/>
  <c r="B83" i="1"/>
  <c r="B78" i="1"/>
  <c r="B73" i="1"/>
  <c r="B68" i="1"/>
  <c r="B63" i="1"/>
  <c r="B58" i="1"/>
  <c r="B53" i="1"/>
  <c r="B48" i="1"/>
  <c r="B43" i="1"/>
  <c r="B38" i="1"/>
  <c r="B33" i="1"/>
  <c r="B28" i="1"/>
  <c r="B23" i="1"/>
  <c r="B18" i="1"/>
  <c r="B13" i="1"/>
  <c r="C11" i="1"/>
  <c r="C10" i="1"/>
  <c r="C9" i="1"/>
  <c r="B8" i="1"/>
  <c r="D10" i="1" l="1"/>
  <c r="E10" i="1" s="1"/>
  <c r="H10" i="1" s="1"/>
  <c r="D9" i="1"/>
  <c r="E9" i="1" s="1"/>
  <c r="H9" i="1" s="1"/>
  <c r="D11" i="1"/>
  <c r="E11" i="1" s="1"/>
  <c r="G11" i="1" s="1"/>
  <c r="H11" i="1" l="1"/>
  <c r="C16" i="1" s="1"/>
  <c r="G9" i="1"/>
  <c r="G10" i="1"/>
  <c r="I11" i="1" l="1"/>
  <c r="C14" i="1"/>
  <c r="I9" i="1"/>
  <c r="I10" i="1"/>
  <c r="C15" i="1"/>
  <c r="D14" i="1" l="1"/>
  <c r="E14" i="1" s="1"/>
  <c r="H14" i="1" s="1"/>
  <c r="D15" i="1"/>
  <c r="D16" i="1"/>
  <c r="E15" i="1" l="1"/>
  <c r="H15" i="1" s="1"/>
  <c r="G14" i="1"/>
  <c r="E16" i="1"/>
  <c r="H16" i="1" s="1"/>
  <c r="C19" i="1" l="1"/>
  <c r="I14" i="1"/>
  <c r="G15" i="1"/>
  <c r="G16" i="1"/>
  <c r="C21" i="1" l="1"/>
  <c r="I16" i="1"/>
  <c r="I15" i="1"/>
  <c r="C20" i="1"/>
  <c r="D19" i="1" l="1"/>
  <c r="E19" i="1" s="1"/>
  <c r="H19" i="1" s="1"/>
  <c r="D21" i="1"/>
  <c r="E21" i="1" s="1"/>
  <c r="H21" i="1" s="1"/>
  <c r="D20" i="1"/>
  <c r="E20" i="1" l="1"/>
  <c r="G20" i="1" s="1"/>
  <c r="G21" i="1"/>
  <c r="G19" i="1"/>
  <c r="I21" i="1" l="1"/>
  <c r="C26" i="1"/>
  <c r="H20" i="1"/>
  <c r="C25" i="1" s="1"/>
  <c r="I19" i="1"/>
  <c r="C24" i="1"/>
  <c r="D25" i="1" l="1"/>
  <c r="E25" i="1" s="1"/>
  <c r="H25" i="1" s="1"/>
  <c r="I20" i="1"/>
  <c r="D26" i="1"/>
  <c r="D24" i="1"/>
  <c r="E26" i="1" l="1"/>
  <c r="H26" i="1" s="1"/>
  <c r="G25" i="1"/>
  <c r="E24" i="1"/>
  <c r="H24" i="1" s="1"/>
  <c r="G26" i="1" l="1"/>
  <c r="C31" i="1" s="1"/>
  <c r="G24" i="1"/>
  <c r="C30" i="1"/>
  <c r="I25" i="1"/>
  <c r="I26" i="1"/>
  <c r="I24" i="1"/>
  <c r="C29" i="1"/>
  <c r="D31" i="1" l="1"/>
  <c r="E31" i="1" s="1"/>
  <c r="G31" i="1" s="1"/>
  <c r="D30" i="1"/>
  <c r="E30" i="1" s="1"/>
  <c r="H30" i="1" s="1"/>
  <c r="D29" i="1"/>
  <c r="H31" i="1" l="1"/>
  <c r="C36" i="1" s="1"/>
  <c r="E29" i="1"/>
  <c r="H29" i="1" s="1"/>
  <c r="G30" i="1"/>
  <c r="I31" i="1" l="1"/>
  <c r="G29" i="1"/>
  <c r="I30" i="1"/>
  <c r="C35" i="1"/>
  <c r="C34" i="1" l="1"/>
  <c r="I29" i="1"/>
  <c r="D34" i="1" l="1"/>
  <c r="D36" i="1"/>
  <c r="D35" i="1"/>
  <c r="E36" i="1" l="1"/>
  <c r="H36" i="1" s="1"/>
  <c r="E35" i="1"/>
  <c r="H35" i="1" s="1"/>
  <c r="E34" i="1"/>
  <c r="H34" i="1" s="1"/>
  <c r="G34" i="1" l="1"/>
  <c r="C39" i="1" s="1"/>
  <c r="G35" i="1"/>
  <c r="G36" i="1"/>
  <c r="I34" i="1" l="1"/>
  <c r="C41" i="1"/>
  <c r="I36" i="1"/>
  <c r="I35" i="1"/>
  <c r="C40" i="1"/>
  <c r="D39" i="1" l="1"/>
  <c r="E39" i="1" s="1"/>
  <c r="H39" i="1" s="1"/>
  <c r="D41" i="1"/>
  <c r="E41" i="1" s="1"/>
  <c r="H41" i="1" s="1"/>
  <c r="D40" i="1"/>
  <c r="E40" i="1" l="1"/>
  <c r="G40" i="1" s="1"/>
  <c r="G41" i="1"/>
  <c r="G39" i="1"/>
  <c r="H40" i="1" l="1"/>
  <c r="C45" i="1" s="1"/>
  <c r="I41" i="1"/>
  <c r="C46" i="1"/>
  <c r="I39" i="1"/>
  <c r="C44" i="1"/>
  <c r="I40" i="1" l="1"/>
  <c r="D46" i="1"/>
  <c r="E46" i="1" s="1"/>
  <c r="H46" i="1" s="1"/>
  <c r="D44" i="1"/>
  <c r="D45" i="1"/>
  <c r="E44" i="1" l="1"/>
  <c r="H44" i="1" s="1"/>
  <c r="G46" i="1"/>
  <c r="E45" i="1"/>
  <c r="H45" i="1" s="1"/>
  <c r="G44" i="1" l="1"/>
  <c r="C49" i="1" s="1"/>
  <c r="G45" i="1"/>
  <c r="I46" i="1"/>
  <c r="C51" i="1"/>
  <c r="I44" i="1" l="1"/>
  <c r="C50" i="1"/>
  <c r="D50" i="1" s="1"/>
  <c r="I45" i="1"/>
  <c r="E50" i="1" l="1"/>
  <c r="H50" i="1" s="1"/>
  <c r="D51" i="1"/>
  <c r="D49" i="1"/>
  <c r="E51" i="1" l="1"/>
  <c r="G51" i="1" s="1"/>
  <c r="G50" i="1"/>
  <c r="E49" i="1"/>
  <c r="G49" i="1" s="1"/>
  <c r="H51" i="1" l="1"/>
  <c r="C56" i="1" s="1"/>
  <c r="H49" i="1"/>
  <c r="C54" i="1" s="1"/>
  <c r="I50" i="1"/>
  <c r="C55" i="1"/>
  <c r="I49" i="1"/>
  <c r="I51" i="1" l="1"/>
  <c r="D56" i="1"/>
  <c r="E56" i="1" s="1"/>
  <c r="G56" i="1" s="1"/>
  <c r="D54" i="1"/>
  <c r="D55" i="1"/>
  <c r="H56" i="1" l="1"/>
  <c r="C61" i="1" s="1"/>
  <c r="E55" i="1"/>
  <c r="H55" i="1" s="1"/>
  <c r="E54" i="1"/>
  <c r="H54" i="1" s="1"/>
  <c r="G54" i="1" l="1"/>
  <c r="C59" i="1" s="1"/>
  <c r="G55" i="1"/>
  <c r="I56" i="1"/>
  <c r="I54" i="1" l="1"/>
  <c r="I55" i="1"/>
  <c r="C60" i="1"/>
  <c r="D60" i="1" s="1"/>
  <c r="D59" i="1" l="1"/>
  <c r="D61" i="1"/>
  <c r="E60" i="1"/>
  <c r="H60" i="1" s="1"/>
  <c r="G60" i="1" l="1"/>
  <c r="E61" i="1"/>
  <c r="H61" i="1" s="1"/>
  <c r="E59" i="1"/>
  <c r="H59" i="1" s="1"/>
  <c r="G61" i="1" l="1"/>
  <c r="G59" i="1"/>
  <c r="C65" i="1"/>
  <c r="I60" i="1"/>
  <c r="I59" i="1" l="1"/>
  <c r="C64" i="1"/>
  <c r="I61" i="1"/>
  <c r="C66" i="1"/>
  <c r="D66" i="1" l="1"/>
  <c r="E66" i="1" s="1"/>
  <c r="G66" i="1" s="1"/>
  <c r="D64" i="1"/>
  <c r="D65" i="1"/>
  <c r="H66" i="1" l="1"/>
  <c r="C71" i="1" s="1"/>
  <c r="E65" i="1"/>
  <c r="H65" i="1" s="1"/>
  <c r="E64" i="1"/>
  <c r="G64" i="1" s="1"/>
  <c r="I66" i="1" l="1"/>
  <c r="G65" i="1"/>
  <c r="C70" i="1" s="1"/>
  <c r="H64" i="1"/>
  <c r="I64" i="1" s="1"/>
  <c r="I65" i="1" l="1"/>
  <c r="C69" i="1"/>
  <c r="D69" i="1" l="1"/>
  <c r="D71" i="1"/>
  <c r="D70" i="1"/>
  <c r="E70" i="1" l="1"/>
  <c r="H70" i="1" s="1"/>
  <c r="E71" i="1"/>
  <c r="H71" i="1" s="1"/>
  <c r="E69" i="1"/>
  <c r="H69" i="1" s="1"/>
  <c r="G71" i="1" l="1"/>
  <c r="C76" i="1" s="1"/>
  <c r="G69" i="1"/>
  <c r="G70" i="1"/>
  <c r="I71" i="1" l="1"/>
  <c r="I70" i="1"/>
  <c r="C75" i="1"/>
  <c r="C74" i="1"/>
  <c r="I69" i="1"/>
  <c r="D75" i="1" l="1"/>
  <c r="E75" i="1" s="1"/>
  <c r="G75" i="1" s="1"/>
  <c r="D74" i="1"/>
  <c r="D76" i="1"/>
  <c r="H75" i="1" l="1"/>
  <c r="I75" i="1" s="1"/>
  <c r="E76" i="1"/>
  <c r="G76" i="1" s="1"/>
  <c r="E74" i="1"/>
  <c r="G74" i="1" s="1"/>
  <c r="H74" i="1" l="1"/>
  <c r="C79" i="1" s="1"/>
  <c r="H76" i="1"/>
  <c r="C81" i="1" s="1"/>
  <c r="C80" i="1"/>
  <c r="I74" i="1"/>
  <c r="D80" i="1" l="1"/>
  <c r="E80" i="1" s="1"/>
  <c r="G80" i="1" s="1"/>
  <c r="I76" i="1"/>
  <c r="D79" i="1"/>
  <c r="D81" i="1"/>
  <c r="H80" i="1" l="1"/>
  <c r="C85" i="1" s="1"/>
  <c r="E79" i="1"/>
  <c r="H79" i="1" s="1"/>
  <c r="E81" i="1"/>
  <c r="H81" i="1" s="1"/>
  <c r="I80" i="1" l="1"/>
  <c r="G79" i="1"/>
  <c r="G81" i="1"/>
  <c r="I79" i="1" l="1"/>
  <c r="C84" i="1"/>
  <c r="I81" i="1"/>
  <c r="C86" i="1"/>
  <c r="D86" i="1" l="1"/>
  <c r="E86" i="1" s="1"/>
  <c r="H86" i="1" s="1"/>
  <c r="D84" i="1"/>
  <c r="D85" i="1"/>
  <c r="G86" i="1" l="1"/>
  <c r="I86" i="1" s="1"/>
  <c r="E84" i="1"/>
  <c r="H84" i="1" s="1"/>
  <c r="E85" i="1"/>
  <c r="H85" i="1" s="1"/>
  <c r="C91" i="1" l="1"/>
  <c r="G85" i="1"/>
  <c r="G84" i="1"/>
  <c r="I84" i="1" l="1"/>
  <c r="C89" i="1"/>
  <c r="C90" i="1"/>
  <c r="I85" i="1"/>
  <c r="D90" i="1" l="1"/>
  <c r="E90" i="1" s="1"/>
  <c r="H90" i="1" s="1"/>
  <c r="D89" i="1"/>
  <c r="D91" i="1"/>
  <c r="E89" i="1" l="1"/>
  <c r="G89" i="1" s="1"/>
  <c r="G90" i="1"/>
  <c r="E91" i="1"/>
  <c r="G91" i="1" s="1"/>
  <c r="H89" i="1" l="1"/>
  <c r="C94" i="1" s="1"/>
  <c r="H91" i="1"/>
  <c r="C96" i="1" s="1"/>
  <c r="I90" i="1"/>
  <c r="C95" i="1"/>
  <c r="I89" i="1" l="1"/>
  <c r="I91" i="1"/>
  <c r="D94" i="1"/>
  <c r="E94" i="1" s="1"/>
  <c r="H94" i="1" s="1"/>
  <c r="D95" i="1"/>
  <c r="D96" i="1"/>
  <c r="G94" i="1" l="1"/>
  <c r="E96" i="1"/>
  <c r="H96" i="1" s="1"/>
  <c r="E95" i="1"/>
  <c r="H95" i="1" s="1"/>
  <c r="G95" i="1" l="1"/>
  <c r="I95" i="1" s="1"/>
  <c r="G96" i="1"/>
  <c r="C99" i="1"/>
  <c r="I94" i="1"/>
  <c r="C100" i="1" l="1"/>
  <c r="C101" i="1"/>
  <c r="I96" i="1"/>
  <c r="D101" i="1" l="1"/>
  <c r="E101" i="1" s="1"/>
  <c r="G101" i="1" s="1"/>
  <c r="D100" i="1"/>
  <c r="D99" i="1"/>
  <c r="H101" i="1" l="1"/>
  <c r="I101" i="1" s="1"/>
  <c r="E99" i="1"/>
  <c r="G99" i="1" s="1"/>
  <c r="E100" i="1"/>
  <c r="H100" i="1" s="1"/>
  <c r="H99" i="1" l="1"/>
  <c r="I99" i="1" s="1"/>
  <c r="G100" i="1"/>
  <c r="C106" i="1"/>
  <c r="C104" i="1" l="1"/>
  <c r="C105" i="1"/>
  <c r="I100" i="1"/>
  <c r="D105" i="1" l="1"/>
  <c r="E105" i="1" s="1"/>
  <c r="G105" i="1" s="1"/>
  <c r="D104" i="1"/>
  <c r="D106" i="1"/>
  <c r="H105" i="1" l="1"/>
  <c r="C110" i="1" s="1"/>
  <c r="E106" i="1"/>
  <c r="H106" i="1" s="1"/>
  <c r="E104" i="1"/>
  <c r="G104" i="1" s="1"/>
  <c r="H104" i="1"/>
  <c r="I104" i="1" l="1"/>
  <c r="C109" i="1"/>
  <c r="G106" i="1"/>
  <c r="I105" i="1"/>
  <c r="I106" i="1" l="1"/>
  <c r="C111" i="1"/>
  <c r="D111" i="1" s="1"/>
  <c r="E111" i="1" l="1"/>
  <c r="G111" i="1" s="1"/>
  <c r="D109" i="1"/>
  <c r="D110" i="1"/>
  <c r="E109" i="1" l="1"/>
  <c r="H109" i="1" s="1"/>
  <c r="H111" i="1"/>
  <c r="C116" i="1" s="1"/>
  <c r="E110" i="1"/>
  <c r="H110" i="1" s="1"/>
  <c r="G110" i="1" l="1"/>
  <c r="C115" i="1" s="1"/>
  <c r="I111" i="1"/>
  <c r="G109" i="1"/>
  <c r="I110" i="1" l="1"/>
  <c r="C114" i="1"/>
  <c r="I109" i="1"/>
  <c r="D114" i="1" l="1"/>
  <c r="D116" i="1"/>
  <c r="D115" i="1"/>
  <c r="E116" i="1" l="1"/>
  <c r="H116" i="1" s="1"/>
  <c r="E115" i="1"/>
  <c r="H115" i="1" s="1"/>
  <c r="E114" i="1"/>
  <c r="H114" i="1" s="1"/>
  <c r="G114" i="1" l="1"/>
  <c r="C119" i="1" s="1"/>
  <c r="G116" i="1"/>
  <c r="G115" i="1"/>
  <c r="I114" i="1" l="1"/>
  <c r="I115" i="1"/>
  <c r="C120" i="1"/>
  <c r="C121" i="1"/>
  <c r="I116" i="1"/>
  <c r="D121" i="1" l="1"/>
  <c r="E121" i="1" s="1"/>
  <c r="H121" i="1" s="1"/>
  <c r="D120" i="1"/>
  <c r="D119" i="1"/>
  <c r="E120" i="1" l="1"/>
  <c r="G120" i="1" s="1"/>
  <c r="G121" i="1"/>
  <c r="E119" i="1"/>
  <c r="H119" i="1" s="1"/>
  <c r="I121" i="1" l="1"/>
  <c r="C126" i="1"/>
  <c r="H120" i="1"/>
  <c r="C125" i="1" s="1"/>
  <c r="G119" i="1"/>
  <c r="I119" i="1" l="1"/>
  <c r="C124" i="1"/>
  <c r="D124" i="1" s="1"/>
  <c r="I120" i="1"/>
  <c r="E124" i="1" l="1"/>
  <c r="H124" i="1" s="1"/>
  <c r="D126" i="1"/>
  <c r="D125" i="1"/>
  <c r="G124" i="1" l="1"/>
  <c r="I124" i="1" s="1"/>
  <c r="E126" i="1"/>
  <c r="G126" i="1" s="1"/>
  <c r="E125" i="1"/>
  <c r="H125" i="1" s="1"/>
  <c r="C129" i="1" l="1"/>
  <c r="H126" i="1"/>
  <c r="I126" i="1" s="1"/>
  <c r="G125" i="1"/>
  <c r="C131" i="1" l="1"/>
  <c r="C130" i="1"/>
  <c r="I125" i="1"/>
  <c r="D131" i="1" l="1"/>
  <c r="E131" i="1" s="1"/>
  <c r="G131" i="1" s="1"/>
  <c r="D130" i="1"/>
  <c r="D129" i="1"/>
  <c r="E130" i="1" l="1"/>
  <c r="H130" i="1" s="1"/>
  <c r="H131" i="1"/>
  <c r="C136" i="1" s="1"/>
  <c r="E129" i="1"/>
  <c r="H129" i="1" s="1"/>
  <c r="G130" i="1" l="1"/>
  <c r="C135" i="1" s="1"/>
  <c r="I131" i="1"/>
  <c r="G129" i="1"/>
  <c r="I130" i="1" l="1"/>
  <c r="C134" i="1"/>
  <c r="I129" i="1"/>
  <c r="D134" i="1" l="1"/>
  <c r="D136" i="1"/>
  <c r="D135" i="1"/>
  <c r="E135" i="1" l="1"/>
  <c r="H135" i="1" s="1"/>
  <c r="E136" i="1"/>
  <c r="H136" i="1" s="1"/>
  <c r="E134" i="1"/>
  <c r="H134" i="1" s="1"/>
  <c r="G136" i="1" l="1"/>
  <c r="C141" i="1" s="1"/>
  <c r="G135" i="1"/>
  <c r="G134" i="1"/>
  <c r="I136" i="1" l="1"/>
  <c r="C139" i="1"/>
  <c r="I134" i="1"/>
  <c r="I135" i="1"/>
  <c r="C140" i="1"/>
  <c r="D140" i="1" l="1"/>
  <c r="E140" i="1" s="1"/>
  <c r="H140" i="1" s="1"/>
  <c r="D141" i="1"/>
  <c r="D139" i="1"/>
  <c r="G140" i="1" l="1"/>
  <c r="I140" i="1" s="1"/>
  <c r="E141" i="1"/>
  <c r="H141" i="1" s="1"/>
  <c r="E139" i="1"/>
  <c r="H139" i="1" s="1"/>
  <c r="C145" i="1" l="1"/>
  <c r="G139" i="1"/>
  <c r="G141" i="1"/>
  <c r="C146" i="1" l="1"/>
  <c r="I141" i="1"/>
  <c r="C144" i="1"/>
  <c r="I139" i="1"/>
  <c r="D146" i="1" l="1"/>
  <c r="E146" i="1" s="1"/>
  <c r="H146" i="1" s="1"/>
  <c r="D144" i="1"/>
  <c r="D145" i="1"/>
  <c r="G146" i="1" l="1"/>
  <c r="I146" i="1" s="1"/>
  <c r="E145" i="1"/>
  <c r="G145" i="1" s="1"/>
  <c r="E144" i="1"/>
  <c r="H144" i="1" s="1"/>
  <c r="C151" i="1" l="1"/>
  <c r="H145" i="1"/>
  <c r="C150" i="1" s="1"/>
  <c r="G144" i="1"/>
  <c r="I145" i="1" l="1"/>
  <c r="I144" i="1"/>
  <c r="C149" i="1"/>
  <c r="D150" i="1" s="1"/>
  <c r="E150" i="1" l="1"/>
  <c r="H150" i="1" s="1"/>
  <c r="D149" i="1"/>
  <c r="D151" i="1"/>
  <c r="E149" i="1" l="1"/>
  <c r="H149" i="1" s="1"/>
  <c r="G150" i="1"/>
  <c r="E151" i="1"/>
  <c r="H151" i="1" s="1"/>
  <c r="G151" i="1" l="1"/>
  <c r="I151" i="1" s="1"/>
  <c r="G149" i="1"/>
  <c r="I149" i="1" s="1"/>
  <c r="C155" i="1"/>
  <c r="I150" i="1"/>
  <c r="C154" i="1" l="1"/>
  <c r="C156" i="1"/>
  <c r="D155" i="1" l="1"/>
  <c r="E155" i="1" s="1"/>
  <c r="H155" i="1" s="1"/>
  <c r="D156" i="1"/>
  <c r="E156" i="1" s="1"/>
  <c r="G156" i="1" s="1"/>
  <c r="D154" i="1"/>
  <c r="E154" i="1" s="1"/>
  <c r="G154" i="1" s="1"/>
  <c r="G155" i="1" l="1"/>
  <c r="I155" i="1" s="1"/>
  <c r="H154" i="1"/>
  <c r="C159" i="1" s="1"/>
  <c r="H156" i="1"/>
  <c r="C161" i="1" s="1"/>
  <c r="C160" i="1"/>
  <c r="I154" i="1" l="1"/>
  <c r="I156" i="1"/>
  <c r="D159" i="1"/>
  <c r="E159" i="1" s="1"/>
  <c r="H159" i="1" s="1"/>
  <c r="D160" i="1"/>
  <c r="D161" i="1"/>
  <c r="G159" i="1" l="1"/>
  <c r="E161" i="1"/>
  <c r="H161" i="1" s="1"/>
  <c r="E160" i="1"/>
  <c r="H160" i="1" s="1"/>
  <c r="G160" i="1" l="1"/>
  <c r="I160" i="1" s="1"/>
  <c r="G161" i="1"/>
  <c r="I161" i="1" s="1"/>
  <c r="C164" i="1"/>
  <c r="I159" i="1"/>
  <c r="C166" i="1" l="1"/>
  <c r="C165" i="1"/>
  <c r="D166" i="1" l="1"/>
  <c r="E166" i="1" s="1"/>
  <c r="H166" i="1" s="1"/>
  <c r="D164" i="1"/>
  <c r="E164" i="1" s="1"/>
  <c r="G164" i="1" s="1"/>
  <c r="D165" i="1"/>
  <c r="E165" i="1" s="1"/>
  <c r="H165" i="1" s="1"/>
  <c r="G166" i="1" l="1"/>
  <c r="I166" i="1" s="1"/>
  <c r="H164" i="1"/>
  <c r="I164" i="1" s="1"/>
  <c r="G165" i="1"/>
  <c r="C171" i="1" l="1"/>
  <c r="C169" i="1"/>
  <c r="C170" i="1"/>
  <c r="I165" i="1"/>
  <c r="D170" i="1" l="1"/>
  <c r="E170" i="1" s="1"/>
  <c r="H170" i="1" s="1"/>
  <c r="D171" i="1"/>
  <c r="D169" i="1"/>
  <c r="E171" i="1" l="1"/>
  <c r="H171" i="1" s="1"/>
  <c r="G170" i="1"/>
  <c r="E169" i="1"/>
  <c r="H169" i="1" s="1"/>
  <c r="G171" i="1" l="1"/>
  <c r="C176" i="1" s="1"/>
  <c r="G169" i="1"/>
  <c r="I169" i="1" s="1"/>
  <c r="C175" i="1"/>
  <c r="I170" i="1"/>
  <c r="I171" i="1" l="1"/>
  <c r="C174" i="1"/>
  <c r="D175" i="1" s="1"/>
  <c r="E175" i="1" s="1"/>
  <c r="G175" i="1" s="1"/>
  <c r="D174" i="1" l="1"/>
  <c r="E174" i="1" s="1"/>
  <c r="H174" i="1" s="1"/>
  <c r="D176" i="1"/>
  <c r="E176" i="1" s="1"/>
  <c r="G176" i="1" s="1"/>
  <c r="H175" i="1"/>
  <c r="I175" i="1" s="1"/>
  <c r="H176" i="1" l="1"/>
  <c r="C181" i="1" s="1"/>
  <c r="C180" i="1"/>
  <c r="G174" i="1"/>
  <c r="I176" i="1" l="1"/>
  <c r="C179" i="1"/>
  <c r="D179" i="1" s="1"/>
  <c r="I174" i="1"/>
  <c r="D181" i="1" l="1"/>
  <c r="E179" i="1"/>
  <c r="H179" i="1" s="1"/>
  <c r="D180" i="1"/>
  <c r="G179" i="1" l="1"/>
  <c r="E180" i="1"/>
  <c r="H180" i="1" s="1"/>
  <c r="E181" i="1"/>
  <c r="H181" i="1" s="1"/>
  <c r="G180" i="1" l="1"/>
  <c r="I180" i="1" s="1"/>
  <c r="G181" i="1"/>
  <c r="C184" i="1"/>
  <c r="I179" i="1"/>
  <c r="C185" i="1" l="1"/>
  <c r="C186" i="1"/>
  <c r="I181" i="1"/>
  <c r="D186" i="1" l="1"/>
  <c r="E186" i="1" s="1"/>
  <c r="H186" i="1" s="1"/>
  <c r="D184" i="1"/>
  <c r="D185" i="1"/>
  <c r="E184" i="1" l="1"/>
  <c r="H184" i="1" s="1"/>
  <c r="G186" i="1"/>
  <c r="E185" i="1"/>
  <c r="G185" i="1" s="1"/>
  <c r="H185" i="1" l="1"/>
  <c r="C190" i="1" s="1"/>
  <c r="I186" i="1"/>
  <c r="C191" i="1"/>
  <c r="G184" i="1"/>
  <c r="I185" i="1" l="1"/>
  <c r="I184" i="1"/>
  <c r="C189" i="1"/>
  <c r="D189" i="1" s="1"/>
  <c r="D190" i="1" l="1"/>
  <c r="E190" i="1" s="1"/>
  <c r="H190" i="1" s="1"/>
  <c r="D191" i="1"/>
  <c r="E191" i="1" s="1"/>
  <c r="H191" i="1" s="1"/>
  <c r="E189" i="1"/>
  <c r="G189" i="1" s="1"/>
  <c r="H189" i="1" l="1"/>
  <c r="I189" i="1" s="1"/>
  <c r="G191" i="1"/>
  <c r="G190" i="1"/>
  <c r="C194" i="1" l="1"/>
  <c r="C195" i="1"/>
  <c r="I190" i="1"/>
  <c r="I191" i="1"/>
  <c r="C196" i="1"/>
  <c r="D196" i="1" l="1"/>
  <c r="E196" i="1" s="1"/>
  <c r="G196" i="1" s="1"/>
  <c r="D194" i="1"/>
  <c r="D195" i="1"/>
  <c r="E194" i="1" l="1"/>
  <c r="H194" i="1" s="1"/>
  <c r="H196" i="1"/>
  <c r="C201" i="1" s="1"/>
  <c r="E195" i="1"/>
  <c r="H195" i="1" s="1"/>
  <c r="G195" i="1" l="1"/>
  <c r="I195" i="1" s="1"/>
  <c r="G194" i="1"/>
  <c r="I196" i="1"/>
  <c r="C200" i="1" l="1"/>
  <c r="C199" i="1"/>
  <c r="I194" i="1"/>
  <c r="D200" i="1" l="1"/>
  <c r="E200" i="1" s="1"/>
  <c r="H200" i="1" s="1"/>
  <c r="D199" i="1"/>
  <c r="D201" i="1"/>
  <c r="E201" i="1" l="1"/>
  <c r="H201" i="1" s="1"/>
  <c r="E199" i="1"/>
  <c r="H199" i="1" s="1"/>
  <c r="G200" i="1"/>
  <c r="G199" i="1" l="1"/>
  <c r="I199" i="1" s="1"/>
  <c r="I200" i="1"/>
  <c r="C205" i="1"/>
  <c r="G201" i="1"/>
  <c r="C204" i="1"/>
  <c r="C206" i="1" l="1"/>
  <c r="D206" i="1" s="1"/>
  <c r="I201" i="1"/>
  <c r="E206" i="1" l="1"/>
  <c r="H206" i="1" s="1"/>
  <c r="D205" i="1"/>
  <c r="D204" i="1"/>
  <c r="E205" i="1" l="1"/>
  <c r="G205" i="1" s="1"/>
  <c r="G206" i="1"/>
  <c r="E204" i="1"/>
  <c r="H204" i="1" s="1"/>
  <c r="I206" i="1" l="1"/>
  <c r="C211" i="1"/>
  <c r="H205" i="1"/>
  <c r="C210" i="1" s="1"/>
  <c r="G204" i="1"/>
  <c r="I204" i="1" l="1"/>
  <c r="C209" i="1"/>
  <c r="D209" i="1" s="1"/>
  <c r="I205" i="1"/>
  <c r="E209" i="1" l="1"/>
  <c r="H209" i="1" s="1"/>
  <c r="D211" i="1"/>
  <c r="D210" i="1"/>
  <c r="G209" i="1" l="1"/>
  <c r="E211" i="1"/>
  <c r="H211" i="1" s="1"/>
  <c r="E210" i="1"/>
  <c r="H210" i="1" s="1"/>
  <c r="G211" i="1" l="1"/>
  <c r="I211" i="1" s="1"/>
  <c r="G210" i="1"/>
  <c r="I209" i="1"/>
  <c r="C214" i="1"/>
  <c r="C216" i="1" l="1"/>
  <c r="C215" i="1"/>
  <c r="I210" i="1"/>
  <c r="D215" i="1" l="1"/>
  <c r="E215" i="1" s="1"/>
  <c r="H215" i="1" s="1"/>
  <c r="D214" i="1"/>
  <c r="D216" i="1"/>
  <c r="G215" i="1" l="1"/>
  <c r="I215" i="1" s="1"/>
  <c r="E216" i="1"/>
  <c r="H216" i="1" s="1"/>
  <c r="E214" i="1"/>
  <c r="G214" i="1" s="1"/>
  <c r="C220" i="1" l="1"/>
  <c r="H214" i="1"/>
  <c r="C219" i="1" s="1"/>
  <c r="G216" i="1"/>
  <c r="I214" i="1" l="1"/>
  <c r="C221" i="1"/>
  <c r="D221" i="1" s="1"/>
  <c r="I216" i="1"/>
  <c r="D219" i="1" l="1"/>
  <c r="E221" i="1"/>
  <c r="H221" i="1" s="1"/>
  <c r="D220" i="1"/>
  <c r="G221" i="1" l="1"/>
  <c r="E220" i="1"/>
  <c r="H220" i="1" s="1"/>
  <c r="E219" i="1"/>
  <c r="H219" i="1" s="1"/>
  <c r="G220" i="1" l="1"/>
  <c r="I220" i="1" s="1"/>
  <c r="G219" i="1"/>
  <c r="C226" i="1"/>
  <c r="I221" i="1"/>
  <c r="C225" i="1" l="1"/>
  <c r="C224" i="1"/>
  <c r="I219" i="1"/>
  <c r="D224" i="1" l="1"/>
  <c r="E224" i="1" s="1"/>
  <c r="H224" i="1" s="1"/>
  <c r="D226" i="1"/>
  <c r="D225" i="1"/>
  <c r="E226" i="1" l="1"/>
  <c r="H226" i="1" s="1"/>
  <c r="G224" i="1"/>
  <c r="E225" i="1"/>
  <c r="G225" i="1" s="1"/>
  <c r="H225" i="1" l="1"/>
  <c r="C230" i="1" s="1"/>
  <c r="I224" i="1"/>
  <c r="C229" i="1"/>
  <c r="G226" i="1"/>
  <c r="I225" i="1" l="1"/>
  <c r="C231" i="1"/>
  <c r="D231" i="1" s="1"/>
  <c r="I226" i="1"/>
  <c r="E231" i="1" l="1"/>
  <c r="H231" i="1" s="1"/>
  <c r="D230" i="1"/>
  <c r="D229" i="1"/>
  <c r="E230" i="1" l="1"/>
  <c r="G230" i="1" s="1"/>
  <c r="G231" i="1"/>
  <c r="E229" i="1"/>
  <c r="H229" i="1" s="1"/>
  <c r="H230" i="1" l="1"/>
  <c r="C235" i="1" s="1"/>
  <c r="G229" i="1"/>
  <c r="I229" i="1" s="1"/>
  <c r="I231" i="1"/>
  <c r="C236" i="1"/>
  <c r="C234" i="1" l="1"/>
  <c r="D236" i="1" s="1"/>
  <c r="E236" i="1" s="1"/>
  <c r="G236" i="1" s="1"/>
  <c r="I230" i="1"/>
  <c r="D235" i="1" l="1"/>
  <c r="D234" i="1"/>
  <c r="E234" i="1" s="1"/>
  <c r="H234" i="1" s="1"/>
  <c r="H236" i="1"/>
  <c r="I236" i="1" s="1"/>
  <c r="C241" i="1"/>
  <c r="E235" i="1"/>
  <c r="H235" i="1" s="1"/>
  <c r="G234" i="1" l="1"/>
  <c r="I234" i="1" s="1"/>
  <c r="G235" i="1"/>
  <c r="C239" i="1" l="1"/>
  <c r="C240" i="1"/>
  <c r="I235" i="1"/>
  <c r="D240" i="1" l="1"/>
  <c r="E240" i="1" s="1"/>
  <c r="H240" i="1" s="1"/>
  <c r="D241" i="1"/>
  <c r="D239" i="1"/>
  <c r="E241" i="1" l="1"/>
  <c r="G241" i="1" s="1"/>
  <c r="G240" i="1"/>
  <c r="E239" i="1"/>
  <c r="G239" i="1" s="1"/>
  <c r="H241" i="1" l="1"/>
  <c r="C246" i="1" s="1"/>
  <c r="I240" i="1"/>
  <c r="C245" i="1"/>
  <c r="H239" i="1"/>
  <c r="C244" i="1" s="1"/>
  <c r="I241" i="1" l="1"/>
  <c r="D244" i="1"/>
  <c r="D245" i="1"/>
  <c r="I239" i="1"/>
  <c r="D246" i="1"/>
  <c r="E244" i="1" l="1"/>
  <c r="H244" i="1" s="1"/>
  <c r="E246" i="1"/>
  <c r="G246" i="1" s="1"/>
  <c r="E245" i="1"/>
  <c r="G245" i="1" s="1"/>
  <c r="G244" i="1" l="1"/>
  <c r="C249" i="1" s="1"/>
  <c r="H245" i="1"/>
  <c r="I245" i="1" s="1"/>
  <c r="H246" i="1"/>
  <c r="C251" i="1" s="1"/>
  <c r="C250" i="1" l="1"/>
  <c r="D251" i="1" s="1"/>
  <c r="I244" i="1"/>
  <c r="I246" i="1"/>
  <c r="D249" i="1" l="1"/>
  <c r="E249" i="1" s="1"/>
  <c r="H249" i="1" s="1"/>
  <c r="D250" i="1"/>
  <c r="E250" i="1" s="1"/>
  <c r="G250" i="1" s="1"/>
  <c r="E251" i="1"/>
  <c r="H251" i="1" s="1"/>
  <c r="H250" i="1" l="1"/>
  <c r="I250" i="1" s="1"/>
  <c r="G251" i="1"/>
  <c r="G249" i="1"/>
  <c r="C255" i="1" l="1"/>
  <c r="I249" i="1"/>
  <c r="C254" i="1"/>
  <c r="I251" i="1"/>
  <c r="C256" i="1"/>
  <c r="D254" i="1" l="1"/>
  <c r="E254" i="1" s="1"/>
  <c r="G254" i="1" s="1"/>
  <c r="D256" i="1"/>
  <c r="D255" i="1"/>
  <c r="H254" i="1" l="1"/>
  <c r="C259" i="1" s="1"/>
  <c r="E255" i="1"/>
  <c r="H255" i="1" s="1"/>
  <c r="E256" i="1"/>
  <c r="H256" i="1" s="1"/>
  <c r="G256" i="1" l="1"/>
  <c r="G255" i="1"/>
  <c r="I254" i="1"/>
  <c r="C260" i="1" l="1"/>
  <c r="I255" i="1"/>
  <c r="I256" i="1"/>
  <c r="C261" i="1"/>
  <c r="D261" i="1" l="1"/>
  <c r="D260" i="1"/>
  <c r="D259" i="1"/>
  <c r="E261" i="1" l="1"/>
  <c r="H261" i="1" s="1"/>
  <c r="E260" i="1"/>
  <c r="H260" i="1" s="1"/>
  <c r="E259" i="1"/>
  <c r="G259" i="1" s="1"/>
  <c r="G261" i="1" l="1"/>
  <c r="H259" i="1"/>
  <c r="C264" i="1" s="1"/>
  <c r="G260" i="1"/>
  <c r="I261" i="1" l="1"/>
  <c r="C266" i="1"/>
  <c r="I259" i="1"/>
  <c r="I260" i="1"/>
  <c r="C265" i="1"/>
  <c r="D265" i="1" l="1"/>
  <c r="E265" i="1" s="1"/>
  <c r="H265" i="1" s="1"/>
  <c r="D266" i="1"/>
  <c r="D264" i="1"/>
  <c r="G265" i="1" l="1"/>
  <c r="E264" i="1"/>
  <c r="G264" i="1" s="1"/>
  <c r="E266" i="1"/>
  <c r="H266" i="1" s="1"/>
  <c r="H264" i="1" l="1"/>
  <c r="C269" i="1" s="1"/>
  <c r="G266" i="1"/>
  <c r="I265" i="1"/>
  <c r="C270" i="1"/>
  <c r="C271" i="1" l="1"/>
  <c r="D271" i="1" s="1"/>
  <c r="I266" i="1"/>
  <c r="I264" i="1"/>
  <c r="E271" i="1" l="1"/>
  <c r="G271" i="1" s="1"/>
  <c r="D270" i="1"/>
  <c r="D269" i="1"/>
  <c r="H271" i="1" l="1"/>
  <c r="I271" i="1" s="1"/>
  <c r="E270" i="1"/>
  <c r="H270" i="1" s="1"/>
  <c r="E269" i="1"/>
  <c r="H269" i="1" s="1"/>
  <c r="C276" i="1" l="1"/>
  <c r="G270" i="1"/>
  <c r="G269" i="1"/>
  <c r="C275" i="1" l="1"/>
  <c r="I270" i="1"/>
  <c r="I269" i="1"/>
  <c r="C274" i="1"/>
  <c r="D275" i="1" l="1"/>
  <c r="E275" i="1" s="1"/>
  <c r="H275" i="1" s="1"/>
  <c r="D274" i="1"/>
  <c r="D276" i="1"/>
  <c r="G275" i="1" l="1"/>
  <c r="E276" i="1"/>
  <c r="H276" i="1" s="1"/>
  <c r="E274" i="1"/>
  <c r="G274" i="1" s="1"/>
  <c r="H274" i="1" l="1"/>
  <c r="I274" i="1" s="1"/>
  <c r="G276" i="1"/>
  <c r="C280" i="1"/>
  <c r="I275" i="1"/>
  <c r="C279" i="1" l="1"/>
  <c r="I276" i="1"/>
  <c r="C281" i="1"/>
  <c r="D281" i="1" l="1"/>
  <c r="E281" i="1" s="1"/>
  <c r="G281" i="1" s="1"/>
  <c r="D279" i="1"/>
  <c r="D280" i="1"/>
  <c r="E280" i="1" l="1"/>
  <c r="H280" i="1" s="1"/>
  <c r="H281" i="1"/>
  <c r="C286" i="1" s="1"/>
  <c r="E279" i="1"/>
  <c r="H279" i="1" s="1"/>
  <c r="G280" i="1" l="1"/>
  <c r="I280" i="1" s="1"/>
  <c r="I281" i="1"/>
  <c r="G279" i="1"/>
  <c r="C285" i="1" l="1"/>
  <c r="C284" i="1"/>
  <c r="I279" i="1"/>
  <c r="D284" i="1" l="1"/>
  <c r="D286" i="1"/>
  <c r="D285" i="1"/>
  <c r="E286" i="1" l="1"/>
  <c r="H286" i="1" s="1"/>
  <c r="E285" i="1"/>
  <c r="H285" i="1" s="1"/>
  <c r="E284" i="1"/>
  <c r="H284" i="1" s="1"/>
  <c r="G284" i="1" l="1"/>
  <c r="C289" i="1" s="1"/>
  <c r="G285" i="1"/>
  <c r="G286" i="1"/>
  <c r="I284" i="1" l="1"/>
  <c r="C291" i="1"/>
  <c r="I286" i="1"/>
  <c r="I285" i="1"/>
  <c r="C290" i="1"/>
  <c r="D290" i="1" l="1"/>
  <c r="E290" i="1" s="1"/>
  <c r="G290" i="1" s="1"/>
  <c r="D289" i="1"/>
  <c r="D291" i="1"/>
  <c r="E289" i="1" l="1"/>
  <c r="H289" i="1" s="1"/>
  <c r="E291" i="1"/>
  <c r="H291" i="1" s="1"/>
  <c r="H290" i="1"/>
  <c r="C295" i="1" s="1"/>
  <c r="G289" i="1" l="1"/>
  <c r="G291" i="1"/>
  <c r="I290" i="1"/>
  <c r="I291" i="1" l="1"/>
  <c r="C296" i="1"/>
  <c r="I289" i="1"/>
  <c r="C294" i="1"/>
  <c r="D296" i="1" l="1"/>
  <c r="E296" i="1" s="1"/>
  <c r="H296" i="1" s="1"/>
  <c r="D294" i="1"/>
  <c r="D295" i="1"/>
  <c r="E295" i="1" l="1"/>
  <c r="H295" i="1" s="1"/>
  <c r="E294" i="1"/>
  <c r="H294" i="1" s="1"/>
  <c r="G296" i="1"/>
  <c r="G294" i="1" l="1"/>
  <c r="G295" i="1"/>
  <c r="I296" i="1"/>
  <c r="C301" i="1"/>
  <c r="C300" i="1" l="1"/>
  <c r="I295" i="1"/>
  <c r="C299" i="1"/>
  <c r="I294" i="1"/>
  <c r="D300" i="1" l="1"/>
  <c r="E300" i="1" s="1"/>
  <c r="G300" i="1" s="1"/>
  <c r="D299" i="1"/>
  <c r="D301" i="1"/>
  <c r="H300" i="1" l="1"/>
  <c r="I300" i="1" s="1"/>
  <c r="E301" i="1"/>
  <c r="H301" i="1" s="1"/>
  <c r="E299" i="1"/>
  <c r="G299" i="1" s="1"/>
  <c r="H299" i="1" l="1"/>
  <c r="I299" i="1" s="1"/>
  <c r="C305" i="1"/>
  <c r="G301" i="1"/>
  <c r="C304" i="1" l="1"/>
  <c r="C306" i="1"/>
  <c r="I301" i="1"/>
  <c r="D306" i="1" l="1"/>
  <c r="E306" i="1" s="1"/>
  <c r="H306" i="1" s="1"/>
  <c r="D304" i="1"/>
  <c r="D305" i="1"/>
  <c r="E304" i="1" l="1"/>
  <c r="H304" i="1" s="1"/>
  <c r="E305" i="1"/>
  <c r="G305" i="1" s="1"/>
  <c r="G306" i="1"/>
  <c r="H305" i="1" l="1"/>
  <c r="I305" i="1" s="1"/>
  <c r="G304" i="1"/>
  <c r="C311" i="1"/>
  <c r="I306" i="1"/>
  <c r="C309" i="1" l="1"/>
  <c r="I304" i="1"/>
  <c r="C310" i="1"/>
  <c r="D309" i="1" l="1"/>
  <c r="E309" i="1" s="1"/>
  <c r="H309" i="1" s="1"/>
  <c r="D310" i="1"/>
  <c r="D311" i="1"/>
  <c r="G309" i="1" l="1"/>
  <c r="E311" i="1"/>
  <c r="H311" i="1" s="1"/>
  <c r="E310" i="1"/>
  <c r="G310" i="1" s="1"/>
  <c r="H310" i="1" l="1"/>
  <c r="I310" i="1" s="1"/>
  <c r="I309" i="1"/>
  <c r="C314" i="1"/>
  <c r="G311" i="1"/>
  <c r="C315" i="1" l="1"/>
  <c r="I311" i="1"/>
  <c r="C316" i="1"/>
  <c r="D316" i="1" l="1"/>
  <c r="E316" i="1" s="1"/>
  <c r="G316" i="1" s="1"/>
  <c r="D315" i="1"/>
  <c r="D314" i="1"/>
  <c r="H316" i="1" l="1"/>
  <c r="C321" i="1" s="1"/>
  <c r="E314" i="1"/>
  <c r="G314" i="1" s="1"/>
  <c r="E315" i="1"/>
  <c r="G315" i="1" s="1"/>
  <c r="H314" i="1" l="1"/>
  <c r="C319" i="1" s="1"/>
  <c r="I316" i="1"/>
  <c r="H315" i="1"/>
  <c r="C320" i="1" s="1"/>
  <c r="I314" i="1" l="1"/>
  <c r="D320" i="1"/>
  <c r="E320" i="1" s="1"/>
  <c r="H320" i="1" s="1"/>
  <c r="I315" i="1"/>
  <c r="D321" i="1"/>
  <c r="D319" i="1"/>
  <c r="E319" i="1" l="1"/>
  <c r="G319" i="1" s="1"/>
  <c r="G320" i="1"/>
  <c r="E321" i="1"/>
  <c r="G321" i="1" s="1"/>
  <c r="I320" i="1" l="1"/>
  <c r="C325" i="1"/>
  <c r="H321" i="1"/>
  <c r="C326" i="1" s="1"/>
  <c r="H319" i="1"/>
  <c r="C324" i="1" s="1"/>
  <c r="D326" i="1" l="1"/>
  <c r="E326" i="1" s="1"/>
  <c r="H326" i="1" s="1"/>
  <c r="D324" i="1"/>
  <c r="I319" i="1"/>
  <c r="I321" i="1"/>
  <c r="D325" i="1"/>
  <c r="G326" i="1" l="1"/>
  <c r="E325" i="1"/>
  <c r="H325" i="1" s="1"/>
  <c r="E324" i="1"/>
  <c r="H324" i="1" s="1"/>
  <c r="G325" i="1" l="1"/>
  <c r="I325" i="1" s="1"/>
  <c r="G324" i="1"/>
  <c r="C331" i="1"/>
  <c r="I326" i="1"/>
  <c r="C330" i="1" l="1"/>
  <c r="C329" i="1"/>
  <c r="I324" i="1"/>
  <c r="D329" i="1" l="1"/>
  <c r="E329" i="1" s="1"/>
  <c r="H329" i="1" s="1"/>
  <c r="D330" i="1"/>
  <c r="D331" i="1"/>
  <c r="G329" i="1" l="1"/>
  <c r="E331" i="1"/>
  <c r="H331" i="1" s="1"/>
  <c r="E330" i="1"/>
  <c r="H330" i="1" s="1"/>
  <c r="G330" i="1" l="1"/>
  <c r="C335" i="1" s="1"/>
  <c r="G331" i="1"/>
  <c r="I329" i="1"/>
  <c r="C334" i="1"/>
  <c r="I330" i="1" l="1"/>
  <c r="I331" i="1"/>
  <c r="C336" i="1"/>
  <c r="D336" i="1" s="1"/>
  <c r="D335" i="1" l="1"/>
  <c r="E336" i="1"/>
  <c r="H336" i="1" s="1"/>
  <c r="D334" i="1"/>
  <c r="G336" i="1" l="1"/>
  <c r="I336" i="1" s="1"/>
  <c r="E334" i="1"/>
  <c r="G334" i="1" s="1"/>
  <c r="E335" i="1"/>
  <c r="H335" i="1" s="1"/>
  <c r="C341" i="1" l="1"/>
  <c r="H334" i="1"/>
  <c r="I334" i="1" s="1"/>
  <c r="G335" i="1"/>
  <c r="C340" i="1" l="1"/>
  <c r="I335" i="1"/>
  <c r="C339" i="1"/>
  <c r="D339" i="1" l="1"/>
  <c r="D341" i="1"/>
  <c r="D340" i="1"/>
  <c r="E340" i="1" l="1"/>
  <c r="H340" i="1" s="1"/>
  <c r="E341" i="1"/>
  <c r="H341" i="1" s="1"/>
  <c r="E339" i="1"/>
  <c r="H339" i="1" s="1"/>
  <c r="G341" i="1" l="1"/>
  <c r="C346" i="1" s="1"/>
  <c r="G340" i="1"/>
  <c r="G339" i="1"/>
  <c r="I341" i="1" l="1"/>
  <c r="C344" i="1"/>
  <c r="I339" i="1"/>
  <c r="I340" i="1"/>
  <c r="C345" i="1"/>
  <c r="D344" i="1" l="1"/>
  <c r="E344" i="1" s="1"/>
  <c r="H344" i="1" s="1"/>
  <c r="D346" i="1"/>
  <c r="D345" i="1"/>
  <c r="G344" i="1" l="1"/>
  <c r="E345" i="1"/>
  <c r="G345" i="1" s="1"/>
  <c r="E346" i="1"/>
  <c r="H346" i="1" s="1"/>
  <c r="G346" i="1" l="1"/>
  <c r="C351" i="1" s="1"/>
  <c r="H345" i="1"/>
  <c r="I345" i="1" s="1"/>
  <c r="C349" i="1"/>
  <c r="I344" i="1"/>
  <c r="I346" i="1" l="1"/>
  <c r="C350" i="1"/>
  <c r="D350" i="1" s="1"/>
  <c r="E350" i="1" l="1"/>
  <c r="H350" i="1" s="1"/>
  <c r="D349" i="1"/>
  <c r="D351" i="1"/>
  <c r="E349" i="1" l="1"/>
  <c r="H349" i="1" s="1"/>
  <c r="G350" i="1"/>
  <c r="E351" i="1"/>
  <c r="H351" i="1" s="1"/>
  <c r="G351" i="1" l="1"/>
  <c r="G349" i="1"/>
  <c r="I350" i="1"/>
  <c r="C355" i="1"/>
  <c r="C354" i="1" l="1"/>
  <c r="I349" i="1"/>
  <c r="C356" i="1"/>
  <c r="I351" i="1"/>
  <c r="D354" i="1" l="1"/>
  <c r="E354" i="1" s="1"/>
  <c r="H354" i="1" s="1"/>
  <c r="D356" i="1"/>
  <c r="D355" i="1"/>
  <c r="E356" i="1" l="1"/>
  <c r="H356" i="1" s="1"/>
  <c r="G354" i="1"/>
  <c r="E355" i="1"/>
  <c r="G355" i="1" s="1"/>
  <c r="H355" i="1" l="1"/>
  <c r="C360" i="1" s="1"/>
  <c r="I354" i="1"/>
  <c r="C359" i="1"/>
  <c r="G356" i="1"/>
  <c r="I355" i="1" l="1"/>
  <c r="I356" i="1"/>
  <c r="C361" i="1"/>
  <c r="D361" i="1" s="1"/>
  <c r="E361" i="1" l="1"/>
  <c r="H361" i="1" s="1"/>
  <c r="D360" i="1"/>
  <c r="D359" i="1"/>
  <c r="G361" i="1" l="1"/>
  <c r="I361" i="1" s="1"/>
  <c r="E360" i="1"/>
  <c r="H360" i="1" s="1"/>
  <c r="E359" i="1"/>
  <c r="H359" i="1" s="1"/>
  <c r="C366" i="1" l="1"/>
  <c r="G359" i="1"/>
  <c r="I359" i="1" s="1"/>
  <c r="G360" i="1"/>
  <c r="C364" i="1" l="1"/>
  <c r="C365" i="1"/>
  <c r="I360" i="1"/>
  <c r="D365" i="1" l="1"/>
  <c r="E365" i="1" s="1"/>
  <c r="H365" i="1" s="1"/>
  <c r="D364" i="1"/>
  <c r="D366" i="1"/>
  <c r="E364" i="1" l="1"/>
  <c r="G364" i="1" s="1"/>
  <c r="G365" i="1"/>
  <c r="E366" i="1"/>
  <c r="H366" i="1" s="1"/>
  <c r="G366" i="1" l="1"/>
  <c r="I366" i="1" s="1"/>
  <c r="H364" i="1"/>
  <c r="C369" i="1" s="1"/>
  <c r="I365" i="1"/>
  <c r="C370" i="1"/>
  <c r="I364" i="1" l="1"/>
  <c r="C371" i="1"/>
  <c r="D371" i="1" s="1"/>
  <c r="E371" i="1" s="1"/>
  <c r="H371" i="1" s="1"/>
  <c r="D369" i="1" l="1"/>
  <c r="E369" i="1" s="1"/>
  <c r="H369" i="1" s="1"/>
  <c r="D370" i="1"/>
  <c r="E370" i="1" s="1"/>
  <c r="H370" i="1" s="1"/>
  <c r="G371" i="1"/>
  <c r="G370" i="1" l="1"/>
  <c r="I370" i="1" s="1"/>
  <c r="C376" i="1"/>
  <c r="I371" i="1"/>
  <c r="G369" i="1"/>
  <c r="C375" i="1" l="1"/>
  <c r="C374" i="1"/>
  <c r="I369" i="1"/>
  <c r="D374" i="1" l="1"/>
  <c r="E374" i="1" s="1"/>
  <c r="H374" i="1" s="1"/>
  <c r="D376" i="1"/>
  <c r="D375" i="1"/>
  <c r="E375" i="1" l="1"/>
  <c r="G375" i="1" s="1"/>
  <c r="G374" i="1"/>
  <c r="E376" i="1"/>
  <c r="H376" i="1" s="1"/>
  <c r="I374" i="1" l="1"/>
  <c r="C379" i="1"/>
  <c r="H375" i="1"/>
  <c r="C380" i="1" s="1"/>
  <c r="G376" i="1"/>
  <c r="I376" i="1" l="1"/>
  <c r="C381" i="1"/>
  <c r="D381" i="1" s="1"/>
  <c r="I375" i="1"/>
  <c r="D379" i="1" l="1"/>
  <c r="E381" i="1"/>
  <c r="H381" i="1" s="1"/>
  <c r="D380" i="1"/>
  <c r="G381" i="1" l="1"/>
  <c r="I381" i="1" s="1"/>
  <c r="E380" i="1"/>
  <c r="H380" i="1" s="1"/>
  <c r="E379" i="1"/>
  <c r="H379" i="1" s="1"/>
  <c r="C386" i="1" l="1"/>
  <c r="G380" i="1"/>
  <c r="C385" i="1" s="1"/>
  <c r="G379" i="1"/>
  <c r="I380" i="1" l="1"/>
  <c r="I379" i="1"/>
  <c r="C384" i="1"/>
  <c r="D384" i="1" l="1"/>
  <c r="D386" i="1"/>
  <c r="D385" i="1"/>
  <c r="E386" i="1" l="1"/>
  <c r="G386" i="1" s="1"/>
  <c r="E385" i="1"/>
  <c r="G385" i="1" s="1"/>
  <c r="E384" i="1"/>
  <c r="G384" i="1" s="1"/>
  <c r="H386" i="1" l="1"/>
  <c r="C391" i="1" s="1"/>
  <c r="H385" i="1"/>
  <c r="I385" i="1" s="1"/>
  <c r="H384" i="1"/>
  <c r="C389" i="1" s="1"/>
  <c r="I386" i="1" l="1"/>
  <c r="C390" i="1"/>
  <c r="D390" i="1" s="1"/>
  <c r="I384" i="1"/>
  <c r="E390" i="1" l="1"/>
  <c r="H390" i="1" s="1"/>
  <c r="D391" i="1"/>
  <c r="D389" i="1"/>
  <c r="G390" i="1" l="1"/>
  <c r="I390" i="1" s="1"/>
  <c r="E391" i="1"/>
  <c r="H391" i="1" s="1"/>
  <c r="E389" i="1"/>
  <c r="H389" i="1" s="1"/>
  <c r="C395" i="1" l="1"/>
  <c r="G389" i="1"/>
  <c r="G391" i="1"/>
  <c r="C396" i="1" l="1"/>
  <c r="I391" i="1"/>
  <c r="C394" i="1"/>
  <c r="I389" i="1"/>
  <c r="D396" i="1" l="1"/>
  <c r="E396" i="1" s="1"/>
  <c r="H396" i="1" s="1"/>
  <c r="D394" i="1"/>
  <c r="D395" i="1"/>
  <c r="G396" i="1" l="1"/>
  <c r="E395" i="1"/>
  <c r="G395" i="1" s="1"/>
  <c r="E394" i="1"/>
  <c r="H394" i="1" s="1"/>
  <c r="H395" i="1" l="1"/>
  <c r="C400" i="1" s="1"/>
  <c r="G394" i="1"/>
  <c r="I396" i="1"/>
  <c r="C401" i="1"/>
  <c r="I394" i="1" l="1"/>
  <c r="C399" i="1"/>
  <c r="D399" i="1" s="1"/>
  <c r="I395" i="1"/>
  <c r="E399" i="1" l="1"/>
  <c r="H399" i="1" s="1"/>
  <c r="D401" i="1"/>
  <c r="D400" i="1"/>
  <c r="E400" i="1" l="1"/>
  <c r="H400" i="1" s="1"/>
  <c r="E401" i="1"/>
  <c r="H401" i="1" s="1"/>
  <c r="G399" i="1"/>
  <c r="I399" i="1" l="1"/>
  <c r="C404" i="1"/>
  <c r="G401" i="1"/>
  <c r="G400" i="1"/>
  <c r="C405" i="1" l="1"/>
  <c r="I400" i="1"/>
  <c r="I401" i="1"/>
  <c r="C406" i="1"/>
  <c r="D405" i="1" l="1"/>
  <c r="E405" i="1" s="1"/>
  <c r="G405" i="1" s="1"/>
  <c r="D404" i="1"/>
  <c r="D406" i="1"/>
  <c r="H405" i="1" l="1"/>
  <c r="I405" i="1" s="1"/>
  <c r="E406" i="1"/>
  <c r="G406" i="1" s="1"/>
  <c r="E404" i="1"/>
  <c r="H404" i="1" s="1"/>
  <c r="H406" i="1" l="1"/>
  <c r="C411" i="1" s="1"/>
  <c r="C410" i="1"/>
  <c r="G404" i="1"/>
  <c r="I406" i="1" l="1"/>
  <c r="C409" i="1"/>
  <c r="D409" i="1" s="1"/>
  <c r="I404" i="1"/>
  <c r="E409" i="1" l="1"/>
  <c r="H409" i="1" s="1"/>
  <c r="D410" i="1"/>
  <c r="D411" i="1"/>
  <c r="E410" i="1" l="1"/>
  <c r="H410" i="1" s="1"/>
  <c r="G409" i="1"/>
  <c r="E411" i="1"/>
  <c r="H411" i="1" s="1"/>
  <c r="C414" i="1" l="1"/>
  <c r="I409" i="1"/>
  <c r="G410" i="1"/>
  <c r="G411" i="1"/>
  <c r="C416" i="1" l="1"/>
  <c r="I411" i="1"/>
  <c r="I410" i="1"/>
  <c r="C415" i="1"/>
  <c r="D416" i="1" l="1"/>
  <c r="E416" i="1" s="1"/>
  <c r="H416" i="1" s="1"/>
  <c r="D414" i="1"/>
  <c r="E414" i="1" s="1"/>
  <c r="H414" i="1" s="1"/>
  <c r="D415" i="1"/>
  <c r="E415" i="1" l="1"/>
  <c r="G415" i="1" s="1"/>
  <c r="G416" i="1"/>
  <c r="G414" i="1"/>
  <c r="I416" i="1" l="1"/>
  <c r="C421" i="1"/>
  <c r="H415" i="1"/>
  <c r="C420" i="1" s="1"/>
  <c r="I414" i="1"/>
  <c r="C419" i="1"/>
  <c r="D420" i="1" l="1"/>
  <c r="E420" i="1" s="1"/>
  <c r="H420" i="1" s="1"/>
  <c r="I415" i="1"/>
  <c r="D421" i="1"/>
  <c r="D419" i="1"/>
  <c r="E421" i="1" l="1"/>
  <c r="H421" i="1" s="1"/>
  <c r="G420" i="1"/>
  <c r="E419" i="1"/>
  <c r="H419" i="1" s="1"/>
  <c r="C425" i="1" l="1"/>
  <c r="I420" i="1"/>
  <c r="G419" i="1"/>
  <c r="G421" i="1"/>
  <c r="I421" i="1" l="1"/>
  <c r="C426" i="1"/>
  <c r="I419" i="1"/>
  <c r="C424" i="1"/>
  <c r="D424" i="1" l="1"/>
  <c r="E424" i="1" s="1"/>
  <c r="G424" i="1" s="1"/>
  <c r="D426" i="1"/>
  <c r="D425" i="1"/>
  <c r="E426" i="1" l="1"/>
  <c r="H426" i="1" s="1"/>
  <c r="H424" i="1"/>
  <c r="C429" i="1" s="1"/>
  <c r="E425" i="1"/>
  <c r="G425" i="1" s="1"/>
  <c r="I424" i="1" l="1"/>
  <c r="H425" i="1"/>
  <c r="I425" i="1" s="1"/>
  <c r="G426" i="1"/>
  <c r="C430" i="1" l="1"/>
  <c r="C431" i="1"/>
  <c r="I426" i="1"/>
  <c r="D431" i="1" l="1"/>
  <c r="E431" i="1" s="1"/>
  <c r="H431" i="1" s="1"/>
  <c r="D429" i="1"/>
  <c r="D430" i="1"/>
  <c r="E429" i="1" l="1"/>
  <c r="H429" i="1" s="1"/>
  <c r="G431" i="1"/>
  <c r="E430" i="1"/>
  <c r="H430" i="1" s="1"/>
  <c r="G430" i="1" l="1"/>
  <c r="I430" i="1" s="1"/>
  <c r="C436" i="1"/>
  <c r="I431" i="1"/>
  <c r="G429" i="1"/>
  <c r="C435" i="1" l="1"/>
  <c r="C434" i="1"/>
  <c r="I429" i="1"/>
  <c r="D434" i="1" l="1"/>
  <c r="E434" i="1" s="1"/>
  <c r="H434" i="1" s="1"/>
  <c r="D436" i="1"/>
  <c r="D435" i="1"/>
  <c r="G434" i="1" l="1"/>
  <c r="I434" i="1" s="1"/>
  <c r="E435" i="1"/>
  <c r="G435" i="1" s="1"/>
  <c r="E436" i="1"/>
  <c r="H436" i="1" s="1"/>
  <c r="H435" i="1" l="1"/>
  <c r="I435" i="1" s="1"/>
  <c r="G436" i="1"/>
  <c r="I436" i="1" s="1"/>
</calcChain>
</file>

<file path=xl/comments1.xml><?xml version="1.0" encoding="utf-8"?>
<comments xmlns="http://schemas.openxmlformats.org/spreadsheetml/2006/main">
  <authors>
    <author>TRCko</author>
  </authors>
  <commentList>
    <comment ref="B2" authorId="0" shapeId="0">
      <text>
        <r>
          <rPr>
            <b/>
            <sz val="9"/>
            <color indexed="81"/>
            <rFont val="Tahoma"/>
            <charset val="1"/>
          </rPr>
          <t>TRCko:</t>
        </r>
        <r>
          <rPr>
            <sz val="9"/>
            <color indexed="81"/>
            <rFont val="Tahoma"/>
            <charset val="1"/>
          </rPr>
          <t xml:space="preserve">
used when deciding, if getting a reward</t>
        </r>
      </text>
    </comment>
    <comment ref="D2" authorId="0" shapeId="0">
      <text>
        <r>
          <rPr>
            <b/>
            <sz val="9"/>
            <color indexed="81"/>
            <rFont val="Tahoma"/>
            <charset val="1"/>
          </rPr>
          <t>TRCko:</t>
        </r>
        <r>
          <rPr>
            <sz val="9"/>
            <color indexed="81"/>
            <rFont val="Tahoma"/>
            <charset val="1"/>
          </rPr>
          <t xml:space="preserve">
is BV highest in this round?</t>
        </r>
      </text>
    </comment>
    <comment ref="E2" authorId="0" shapeId="0">
      <text>
        <r>
          <rPr>
            <b/>
            <sz val="9"/>
            <color indexed="81"/>
            <rFont val="Tahoma"/>
            <charset val="1"/>
          </rPr>
          <t>TRCko:</t>
        </r>
        <r>
          <rPr>
            <sz val="9"/>
            <color indexed="81"/>
            <rFont val="Tahoma"/>
            <charset val="1"/>
          </rPr>
          <t xml:space="preserve">
if is highest, is reward granted?</t>
        </r>
      </text>
    </comment>
  </commentList>
</comments>
</file>

<file path=xl/sharedStrings.xml><?xml version="1.0" encoding="utf-8"?>
<sst xmlns="http://schemas.openxmlformats.org/spreadsheetml/2006/main" count="268" uniqueCount="13">
  <si>
    <t xml:space="preserve">box 1: </t>
  </si>
  <si>
    <t>box 2:</t>
  </si>
  <si>
    <t>box 3:</t>
  </si>
  <si>
    <t>random value</t>
  </si>
  <si>
    <t>Beta value</t>
  </si>
  <si>
    <t>highest</t>
  </si>
  <si>
    <t>reward</t>
  </si>
  <si>
    <t>win</t>
  </si>
  <si>
    <t>loss</t>
  </si>
  <si>
    <t>sum of attempts</t>
  </si>
  <si>
    <t>box 1</t>
  </si>
  <si>
    <t>box 2</t>
  </si>
  <si>
    <t>box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</si>
</sst>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8">
    <font>
      <sz val="10"/>
      <color rgb="FF000000"/>
      <name val="Arial"/>
      <scheme val="minor"/>
    </font>
    <font>
      <sz val="10"/>
      <color theme="1"/>
      <name val="Google Sans Mono"/>
    </font>
    <font>
      <b/>
      <sz val="12"/>
      <color theme="1"/>
      <name val="Google Sans Mono"/>
    </font>
    <font>
      <sz val="10"/>
      <color theme="1"/>
      <name val="Arial"/>
      <scheme val="minor"/>
    </font>
    <font>
      <sz val="9"/>
      <color rgb="FF000000"/>
      <name val="&quot;Google Sans Mono&quot;"/>
    </font>
    <font>
      <sz val="9"/>
      <color rgb="FF000000"/>
      <name val="Google Sans Mono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4" fillId="2" borderId="0" xfId="0" applyFont="1" applyFill="1"/>
    <xf numFmtId="0" fontId="1" fillId="0" borderId="5" xfId="0" applyFont="1" applyBorder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/>
    <xf numFmtId="164" fontId="1" fillId="0" borderId="7" xfId="0" applyNumberFormat="1" applyFont="1" applyBorder="1" applyAlignment="1">
      <alignment horizontal="center"/>
    </xf>
    <xf numFmtId="0" fontId="5" fillId="2" borderId="7" xfId="0" applyFont="1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5" fillId="2" borderId="0" xfId="0" applyFont="1" applyFill="1"/>
    <xf numFmtId="0" fontId="1" fillId="0" borderId="11" xfId="0" applyFont="1" applyBorder="1"/>
    <xf numFmtId="0" fontId="1" fillId="0" borderId="12" xfId="0" applyFont="1" applyBorder="1" applyAlignment="1">
      <alignment horizontal="right"/>
    </xf>
    <xf numFmtId="0" fontId="1" fillId="0" borderId="13" xfId="0" applyFont="1" applyBorder="1"/>
    <xf numFmtId="164" fontId="1" fillId="0" borderId="13" xfId="0" applyNumberFormat="1" applyFont="1" applyBorder="1" applyAlignment="1">
      <alignment horizontal="center"/>
    </xf>
    <xf numFmtId="0" fontId="5" fillId="2" borderId="13" xfId="0" applyFont="1" applyFill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1">
    <cellStyle name="Normální" xfId="0" builtinId="0"/>
  </cellStyles>
  <dxfs count="1">
    <dxf>
      <fill>
        <patternFill patternType="solid">
          <fgColor rgb="FF6D9EEB"/>
          <bgColor rgb="FF6D9E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X755"/>
  <sheetViews>
    <sheetView tabSelected="1" workbookViewId="0">
      <pane ySplit="2" topLeftCell="A3" activePane="bottomLeft" state="frozen"/>
      <selection pane="bottomLeft" activeCell="F2" sqref="F2"/>
    </sheetView>
  </sheetViews>
  <sheetFormatPr defaultColWidth="12.5703125" defaultRowHeight="15.75" customHeight="1"/>
  <cols>
    <col min="2" max="2" width="15" customWidth="1"/>
    <col min="3" max="3" width="17.28515625" customWidth="1"/>
    <col min="4" max="5" width="9.28515625" customWidth="1"/>
    <col min="6" max="6" width="5.85546875" customWidth="1"/>
    <col min="7" max="8" width="9.5703125" customWidth="1"/>
  </cols>
  <sheetData>
    <row r="1" spans="1:24">
      <c r="A1" s="1" t="s">
        <v>0</v>
      </c>
      <c r="B1" s="2">
        <v>0.2</v>
      </c>
      <c r="C1" s="3" t="s">
        <v>1</v>
      </c>
      <c r="D1" s="2">
        <v>0.8</v>
      </c>
      <c r="E1" s="1" t="s">
        <v>2</v>
      </c>
      <c r="F1" s="2">
        <v>0.56000000000000005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33" customHeight="1">
      <c r="A2" s="1"/>
      <c r="B2" s="5" t="s">
        <v>3</v>
      </c>
      <c r="C2" s="6" t="s">
        <v>4</v>
      </c>
      <c r="D2" s="7" t="s">
        <v>5</v>
      </c>
      <c r="E2" s="7" t="s">
        <v>6</v>
      </c>
      <c r="F2" s="8"/>
      <c r="G2" s="9" t="s">
        <v>7</v>
      </c>
      <c r="H2" s="7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2.75" hidden="1">
      <c r="A3" s="4"/>
      <c r="B3" s="4"/>
      <c r="C3" s="10"/>
      <c r="D3" s="4"/>
      <c r="E3" s="4"/>
      <c r="F3" s="4"/>
      <c r="G3" s="11"/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2.75" hidden="1">
      <c r="A4" s="4"/>
      <c r="B4" s="4"/>
      <c r="C4" s="10"/>
      <c r="D4" s="4"/>
      <c r="E4" s="4"/>
      <c r="F4" s="4"/>
      <c r="G4" s="12">
        <v>0</v>
      </c>
      <c r="H4" s="12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2.75" hidden="1">
      <c r="A5" s="4"/>
      <c r="B5" s="4"/>
      <c r="C5" s="10"/>
      <c r="D5" s="4"/>
      <c r="E5" s="4"/>
      <c r="F5" s="4"/>
      <c r="G5" s="13">
        <v>0</v>
      </c>
      <c r="H5" s="13"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2.75" hidden="1">
      <c r="A6" s="4"/>
      <c r="B6" s="4"/>
      <c r="C6" s="14"/>
      <c r="F6" s="4"/>
      <c r="G6" s="15">
        <v>0</v>
      </c>
      <c r="H6" s="15">
        <v>0</v>
      </c>
      <c r="I6" s="4"/>
      <c r="J6" s="4"/>
      <c r="K6" s="4"/>
      <c r="L6" s="1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2.75">
      <c r="A7" s="4"/>
      <c r="B7" s="4"/>
      <c r="C7" s="10"/>
      <c r="D7" s="4"/>
      <c r="E7" s="4"/>
      <c r="F7" s="4"/>
      <c r="G7" s="17"/>
      <c r="H7" s="17"/>
      <c r="I7" s="4"/>
      <c r="J7" s="4"/>
      <c r="K7" s="4"/>
      <c r="L7" s="1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3.5" thickBot="1">
      <c r="A8" s="19"/>
      <c r="B8" s="4">
        <f ca="1">RAND()</f>
        <v>0.48187107062184509</v>
      </c>
      <c r="C8" s="10"/>
      <c r="D8" s="4"/>
      <c r="E8" s="4"/>
      <c r="F8" s="4"/>
      <c r="G8" s="7"/>
      <c r="H8" s="7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2.75">
      <c r="A9" s="20" t="s">
        <v>10</v>
      </c>
      <c r="B9" s="21"/>
      <c r="C9" s="22">
        <f t="shared" ref="C9:C11" ca="1" si="0">_xlfn.BETA.INV(RAND(),G4+1,H4+1)</f>
        <v>0.90630752426907313</v>
      </c>
      <c r="D9" s="23" t="b">
        <f ca="1">AND(C9&gt;C10,C9&gt;C11)</f>
        <v>1</v>
      </c>
      <c r="E9" s="21" t="b">
        <f ca="1">IF(D9 = TRUE, IF(B8&lt;=$B$1, TRUE, FALSE), " ")</f>
        <v>0</v>
      </c>
      <c r="F9" s="21"/>
      <c r="G9" s="24">
        <f t="shared" ref="G9:G11" ca="1" si="1">IF(AND(D9 = TRUE,E9 = TRUE), G4+1,G4)</f>
        <v>0</v>
      </c>
      <c r="H9" s="24">
        <f t="shared" ref="H9:H11" ca="1" si="2">IF(AND(D9 = TRUE, E9 = FALSE), H4+1,H4)</f>
        <v>1</v>
      </c>
      <c r="I9" s="25">
        <f t="shared" ref="I9:I11" ca="1" si="3">SUM(G9:H9)</f>
        <v>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2.75">
      <c r="A10" s="26" t="s">
        <v>11</v>
      </c>
      <c r="B10" s="4"/>
      <c r="C10" s="10">
        <f t="shared" ca="1" si="0"/>
        <v>0.60800282971254749</v>
      </c>
      <c r="D10" s="27" t="b">
        <f ca="1">AND(C10&gt;C9,C10&gt;C11)</f>
        <v>0</v>
      </c>
      <c r="E10" s="4" t="str">
        <f ca="1">IF(D10 = TRUE, IF(B8&lt;=$D$1, TRUE, FALSE), " ")</f>
        <v xml:space="preserve"> </v>
      </c>
      <c r="F10" s="4"/>
      <c r="G10" s="13">
        <f t="shared" ca="1" si="1"/>
        <v>0</v>
      </c>
      <c r="H10" s="13">
        <f t="shared" ca="1" si="2"/>
        <v>0</v>
      </c>
      <c r="I10" s="28">
        <f t="shared" ca="1" si="3"/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3.5" thickBot="1">
      <c r="A11" s="29" t="s">
        <v>12</v>
      </c>
      <c r="B11" s="30"/>
      <c r="C11" s="31">
        <f t="shared" ca="1" si="0"/>
        <v>0.25747916900477841</v>
      </c>
      <c r="D11" s="32" t="b">
        <f ca="1">AND(C11&gt;C9,C11&gt;C10)</f>
        <v>0</v>
      </c>
      <c r="E11" s="30" t="str">
        <f ca="1">IF(D11 = TRUE, IF(B8&lt;=$F$1, TRUE, FALSE), " ")</f>
        <v xml:space="preserve"> </v>
      </c>
      <c r="F11" s="30"/>
      <c r="G11" s="33">
        <f t="shared" ca="1" si="1"/>
        <v>0</v>
      </c>
      <c r="H11" s="33">
        <f t="shared" ca="1" si="2"/>
        <v>0</v>
      </c>
      <c r="I11" s="34">
        <f t="shared" ca="1" si="3"/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2.75">
      <c r="A12" s="35"/>
      <c r="B12" s="4"/>
      <c r="C12" s="10"/>
      <c r="D12" s="4"/>
      <c r="E12" s="4"/>
      <c r="F12" s="4"/>
      <c r="G12" s="7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3.5" thickBot="1">
      <c r="A13" s="19"/>
      <c r="B13" s="4">
        <f ca="1">RAND()</f>
        <v>0.54809505759619537</v>
      </c>
      <c r="C13" s="10"/>
      <c r="D13" s="4"/>
      <c r="E13" s="4"/>
      <c r="F13" s="4"/>
      <c r="G13" s="7"/>
      <c r="H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2.75">
      <c r="A14" s="20" t="s">
        <v>10</v>
      </c>
      <c r="B14" s="21"/>
      <c r="C14" s="22">
        <f t="shared" ref="C14:C16" ca="1" si="4">_xlfn.BETA.INV(RAND(),G9+1,H9+1)</f>
        <v>0.54830386728572678</v>
      </c>
      <c r="D14" s="23" t="b">
        <f ca="1">AND(C14&gt;C15,C14&gt;C16)</f>
        <v>0</v>
      </c>
      <c r="E14" s="21" t="str">
        <f ca="1">IF(D14 = TRUE, IF(B13&lt;=$B$1, TRUE, FALSE), " ")</f>
        <v xml:space="preserve"> </v>
      </c>
      <c r="F14" s="21"/>
      <c r="G14" s="24">
        <f t="shared" ref="G14:G16" ca="1" si="5">IF(AND(D14 = TRUE,E14 = TRUE), G9+1,G9)</f>
        <v>0</v>
      </c>
      <c r="H14" s="24">
        <f t="shared" ref="H14:H16" ca="1" si="6">IF(AND(D14 = TRUE, E14 = FALSE), H9+1,H9)</f>
        <v>1</v>
      </c>
      <c r="I14" s="25">
        <f t="shared" ref="I14:I16" ca="1" si="7">SUM(G14:H14)</f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2.75">
      <c r="A15" s="26" t="s">
        <v>11</v>
      </c>
      <c r="B15" s="4"/>
      <c r="C15" s="10">
        <f t="shared" ca="1" si="4"/>
        <v>0.71101240457100212</v>
      </c>
      <c r="D15" s="27" t="b">
        <f ca="1">AND(C15&gt;C14,C15&gt;C16)</f>
        <v>1</v>
      </c>
      <c r="E15" s="4" t="b">
        <f ca="1">IF(D15 = TRUE, IF(B13&lt;=$D$1, TRUE, FALSE), " ")</f>
        <v>1</v>
      </c>
      <c r="F15" s="4"/>
      <c r="G15" s="13">
        <f t="shared" ca="1" si="5"/>
        <v>1</v>
      </c>
      <c r="H15" s="13">
        <f t="shared" ca="1" si="6"/>
        <v>0</v>
      </c>
      <c r="I15" s="28">
        <f t="shared" ca="1" si="7"/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3.5" thickBot="1">
      <c r="A16" s="29" t="s">
        <v>12</v>
      </c>
      <c r="B16" s="30"/>
      <c r="C16" s="31">
        <f t="shared" ca="1" si="4"/>
        <v>0.58764659504218286</v>
      </c>
      <c r="D16" s="32" t="b">
        <f ca="1">AND(C16&gt;C14,C16&gt;C15)</f>
        <v>0</v>
      </c>
      <c r="E16" s="30" t="str">
        <f ca="1">IF(D16 = TRUE, IF(B13&lt;=$F$1, TRUE, FALSE), " ")</f>
        <v xml:space="preserve"> </v>
      </c>
      <c r="F16" s="30"/>
      <c r="G16" s="33">
        <f t="shared" ca="1" si="5"/>
        <v>0</v>
      </c>
      <c r="H16" s="33">
        <f t="shared" ca="1" si="6"/>
        <v>0</v>
      </c>
      <c r="I16" s="34">
        <f t="shared" ca="1" si="7"/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2.75">
      <c r="A17" s="35"/>
      <c r="B17" s="4"/>
      <c r="C17" s="10"/>
      <c r="D17" s="4"/>
      <c r="E17" s="4"/>
      <c r="F17" s="4"/>
      <c r="G17" s="17"/>
      <c r="H17" s="1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3.5" thickBot="1">
      <c r="A18" s="19"/>
      <c r="B18" s="4">
        <f ca="1">RAND()</f>
        <v>0.6505645573329969</v>
      </c>
      <c r="C18" s="10"/>
      <c r="D18" s="4"/>
      <c r="E18" s="4"/>
      <c r="F18" s="4"/>
      <c r="G18" s="7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2.75">
      <c r="A19" s="20" t="s">
        <v>10</v>
      </c>
      <c r="B19" s="21"/>
      <c r="C19" s="22">
        <f t="shared" ref="C19:C21" ca="1" si="8">_xlfn.BETA.INV(RAND(),G14+1,H14+1)</f>
        <v>0.10713456124681887</v>
      </c>
      <c r="D19" s="23" t="b">
        <f ca="1">AND(C19&gt;C20,C19&gt;C21)</f>
        <v>0</v>
      </c>
      <c r="E19" s="21" t="str">
        <f ca="1">IF(D19 = TRUE, IF(B18&lt;=$B$1, TRUE, FALSE), " ")</f>
        <v xml:space="preserve"> </v>
      </c>
      <c r="F19" s="21"/>
      <c r="G19" s="24">
        <f t="shared" ref="G19:G21" ca="1" si="9">IF(AND(D19 = TRUE,E19 = TRUE), G14+1,G14)</f>
        <v>0</v>
      </c>
      <c r="H19" s="24">
        <f t="shared" ref="H19:H21" ca="1" si="10">IF(AND(D19 = TRUE, E19 = FALSE), H14+1,H14)</f>
        <v>1</v>
      </c>
      <c r="I19" s="25">
        <f t="shared" ref="I19:I21" ca="1" si="11">SUM(G19:H19)</f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2.75">
      <c r="A20" s="26" t="s">
        <v>11</v>
      </c>
      <c r="B20" s="4"/>
      <c r="C20" s="10">
        <f t="shared" ca="1" si="8"/>
        <v>0.98279290030955235</v>
      </c>
      <c r="D20" s="27" t="b">
        <f ca="1">AND(C20&gt;C19,C20&gt;C21)</f>
        <v>1</v>
      </c>
      <c r="E20" s="4" t="b">
        <f ca="1">IF(D20 = TRUE, IF(B18&lt;=$D$1, TRUE, FALSE), " ")</f>
        <v>1</v>
      </c>
      <c r="F20" s="4"/>
      <c r="G20" s="13">
        <f t="shared" ca="1" si="9"/>
        <v>2</v>
      </c>
      <c r="H20" s="13">
        <f t="shared" ca="1" si="10"/>
        <v>0</v>
      </c>
      <c r="I20" s="28">
        <f t="shared" ca="1" si="11"/>
        <v>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3.5" thickBot="1">
      <c r="A21" s="29" t="s">
        <v>12</v>
      </c>
      <c r="B21" s="30"/>
      <c r="C21" s="31">
        <f t="shared" ca="1" si="8"/>
        <v>0.80595906751739499</v>
      </c>
      <c r="D21" s="32" t="b">
        <f ca="1">AND(C21&gt;C19,C21&gt;C20)</f>
        <v>0</v>
      </c>
      <c r="E21" s="30" t="str">
        <f ca="1">IF(D21 = TRUE, IF(B18&lt;=$F$1, TRUE, FALSE), " ")</f>
        <v xml:space="preserve"> </v>
      </c>
      <c r="F21" s="30"/>
      <c r="G21" s="33">
        <f t="shared" ca="1" si="9"/>
        <v>0</v>
      </c>
      <c r="H21" s="33">
        <f t="shared" ca="1" si="10"/>
        <v>0</v>
      </c>
      <c r="I21" s="34">
        <f t="shared" ca="1" si="11"/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2.75">
      <c r="A22" s="4"/>
      <c r="B22" s="4"/>
      <c r="C22" s="10"/>
      <c r="D22" s="4"/>
      <c r="E22" s="4"/>
      <c r="F22" s="4"/>
      <c r="G22" s="7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3.5" thickBot="1">
      <c r="A23" s="18"/>
      <c r="B23" s="4">
        <f ca="1">RAND()</f>
        <v>0.95619993382504231</v>
      </c>
      <c r="C23" s="10"/>
      <c r="D23" s="4"/>
      <c r="E23" s="4"/>
      <c r="F23" s="4"/>
      <c r="G23" s="7"/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2.75">
      <c r="A24" s="20" t="s">
        <v>10</v>
      </c>
      <c r="B24" s="21"/>
      <c r="C24" s="22">
        <f t="shared" ref="C24:C26" ca="1" si="12">_xlfn.BETA.INV(RAND(),G19+1,H19+1)</f>
        <v>1.8910850962234639E-2</v>
      </c>
      <c r="D24" s="23" t="b">
        <f ca="1">AND(C24&gt;C25,C24&gt;C26)</f>
        <v>0</v>
      </c>
      <c r="E24" s="21" t="str">
        <f ca="1">IF(D24 = TRUE, IF(B23&lt;=$B$1, TRUE, FALSE), " ")</f>
        <v xml:space="preserve"> </v>
      </c>
      <c r="F24" s="21"/>
      <c r="G24" s="24">
        <f t="shared" ref="G24:G26" ca="1" si="13">IF(AND(D24 = TRUE,E24 = TRUE), G19+1,G19)</f>
        <v>0</v>
      </c>
      <c r="H24" s="24">
        <f t="shared" ref="H24:H26" ca="1" si="14">IF(AND(D24 = TRUE, E24 = FALSE), H19+1,H19)</f>
        <v>1</v>
      </c>
      <c r="I24" s="25">
        <f t="shared" ref="I24:I26" ca="1" si="15">SUM(G24:H24)</f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2.75">
      <c r="A25" s="26" t="s">
        <v>11</v>
      </c>
      <c r="B25" s="4"/>
      <c r="C25" s="10">
        <f t="shared" ca="1" si="12"/>
        <v>0.99799743814142372</v>
      </c>
      <c r="D25" s="27" t="b">
        <f ca="1">AND(C25&gt;C24,C25&gt;C26)</f>
        <v>1</v>
      </c>
      <c r="E25" s="4" t="b">
        <f ca="1">IF(D25 = TRUE, IF(B23&lt;=$D$1, TRUE, FALSE), " ")</f>
        <v>0</v>
      </c>
      <c r="F25" s="4"/>
      <c r="G25" s="13">
        <f t="shared" ca="1" si="13"/>
        <v>2</v>
      </c>
      <c r="H25" s="13">
        <f t="shared" ca="1" si="14"/>
        <v>1</v>
      </c>
      <c r="I25" s="28">
        <f t="shared" ca="1" si="15"/>
        <v>3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3.5" thickBot="1">
      <c r="A26" s="29" t="s">
        <v>12</v>
      </c>
      <c r="B26" s="30"/>
      <c r="C26" s="31">
        <f t="shared" ca="1" si="12"/>
        <v>0.35770946796648873</v>
      </c>
      <c r="D26" s="32" t="b">
        <f ca="1">AND(C26&gt;C24,C26&gt;C25)</f>
        <v>0</v>
      </c>
      <c r="E26" s="30" t="str">
        <f ca="1">IF(D26 = TRUE, IF(B23&lt;=$F$1, TRUE, FALSE), " ")</f>
        <v xml:space="preserve"> </v>
      </c>
      <c r="F26" s="30"/>
      <c r="G26" s="33">
        <f t="shared" ca="1" si="13"/>
        <v>0</v>
      </c>
      <c r="H26" s="33">
        <f t="shared" ca="1" si="14"/>
        <v>0</v>
      </c>
      <c r="I26" s="34">
        <f t="shared" ca="1" si="15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2.75">
      <c r="A27" s="35"/>
      <c r="B27" s="4"/>
      <c r="C27" s="10"/>
      <c r="D27" s="4"/>
      <c r="E27" s="4"/>
      <c r="F27" s="4"/>
      <c r="G27" s="17"/>
      <c r="H27" s="1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3.5" thickBot="1">
      <c r="A28" s="19"/>
      <c r="B28" s="4">
        <f ca="1">RAND()</f>
        <v>0.99815301458870731</v>
      </c>
      <c r="C28" s="10"/>
      <c r="D28" s="4"/>
      <c r="E28" s="4"/>
      <c r="F28" s="4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2.75">
      <c r="A29" s="20" t="s">
        <v>10</v>
      </c>
      <c r="B29" s="21"/>
      <c r="C29" s="22">
        <f t="shared" ref="C29:C31" ca="1" si="16">_xlfn.BETA.INV(RAND(),G24+1,H24+1)</f>
        <v>0.34363910189364877</v>
      </c>
      <c r="D29" s="23" t="b">
        <f ca="1">AND(C29&gt;C30,C29&gt;C31)</f>
        <v>0</v>
      </c>
      <c r="E29" s="21" t="str">
        <f ca="1">IF(D29 = TRUE, IF(B28&lt;=$B$1, TRUE, FALSE), " ")</f>
        <v xml:space="preserve"> </v>
      </c>
      <c r="F29" s="21"/>
      <c r="G29" s="24">
        <f t="shared" ref="G29:G31" ca="1" si="17">IF(AND(D29 = TRUE,E29 = TRUE), G24+1,G24)</f>
        <v>0</v>
      </c>
      <c r="H29" s="24">
        <f t="shared" ref="H29:H31" ca="1" si="18">IF(AND(D29 = TRUE, E29 = FALSE), H24+1,H24)</f>
        <v>1</v>
      </c>
      <c r="I29" s="25">
        <f t="shared" ref="I29:I31" ca="1" si="19">SUM(G29:H29)</f>
        <v>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2.75">
      <c r="A30" s="26" t="s">
        <v>11</v>
      </c>
      <c r="B30" s="4"/>
      <c r="C30" s="10">
        <f t="shared" ca="1" si="16"/>
        <v>0.77397003041855261</v>
      </c>
      <c r="D30" s="27" t="b">
        <f ca="1">AND(C30&gt;C29,C30&gt;C31)</f>
        <v>1</v>
      </c>
      <c r="E30" s="4" t="b">
        <f ca="1">IF(D30 = TRUE, IF(B28&lt;=$D$1, TRUE, FALSE), " ")</f>
        <v>0</v>
      </c>
      <c r="F30" s="4"/>
      <c r="G30" s="13">
        <f t="shared" ca="1" si="17"/>
        <v>2</v>
      </c>
      <c r="H30" s="13">
        <f t="shared" ca="1" si="18"/>
        <v>2</v>
      </c>
      <c r="I30" s="28">
        <f t="shared" ca="1" si="19"/>
        <v>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3.5" thickBot="1">
      <c r="A31" s="29" t="s">
        <v>12</v>
      </c>
      <c r="B31" s="30"/>
      <c r="C31" s="31">
        <f t="shared" ca="1" si="16"/>
        <v>0.7043384639492194</v>
      </c>
      <c r="D31" s="32" t="b">
        <f ca="1">AND(C31&gt;C29,C31&gt;C30)</f>
        <v>0</v>
      </c>
      <c r="E31" s="30" t="str">
        <f ca="1">IF(D31 = TRUE, IF(B28&lt;=$F$1, TRUE, FALSE), " ")</f>
        <v xml:space="preserve"> </v>
      </c>
      <c r="F31" s="30"/>
      <c r="G31" s="33">
        <f t="shared" ca="1" si="17"/>
        <v>0</v>
      </c>
      <c r="H31" s="33">
        <f t="shared" ca="1" si="18"/>
        <v>0</v>
      </c>
      <c r="I31" s="34">
        <f t="shared" ca="1" si="19"/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2.75">
      <c r="A32" s="35"/>
      <c r="B32" s="4"/>
      <c r="C32" s="10"/>
      <c r="D32" s="4"/>
      <c r="E32" s="4"/>
      <c r="F32" s="4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3.5" thickBot="1">
      <c r="A33" s="35"/>
      <c r="B33" s="4">
        <f ca="1">RAND()</f>
        <v>0.76825953745337605</v>
      </c>
      <c r="C33" s="10"/>
      <c r="D33" s="4"/>
      <c r="E33" s="4"/>
      <c r="F33" s="4"/>
      <c r="G33" s="7"/>
      <c r="H33" s="7"/>
      <c r="I33" s="4"/>
      <c r="J33" s="4"/>
      <c r="K33" s="18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.75">
      <c r="A34" s="20" t="s">
        <v>10</v>
      </c>
      <c r="B34" s="21"/>
      <c r="C34" s="22">
        <f t="shared" ref="C34:C36" ca="1" si="20">_xlfn.BETA.INV(RAND(),G29+1,H29+1)</f>
        <v>0.10969186827076147</v>
      </c>
      <c r="D34" s="23" t="b">
        <f ca="1">AND(C34&gt;C35,C34&gt;C36)</f>
        <v>0</v>
      </c>
      <c r="E34" s="21" t="str">
        <f ca="1">IF(D34 = TRUE, IF(B33&lt;=$B$1, TRUE, FALSE), " ")</f>
        <v xml:space="preserve"> </v>
      </c>
      <c r="F34" s="21"/>
      <c r="G34" s="24">
        <f t="shared" ref="G34:G36" ca="1" si="21">IF(AND(D34 = TRUE,E34 = TRUE), G29+1,G29)</f>
        <v>0</v>
      </c>
      <c r="H34" s="24">
        <f t="shared" ref="H34:H36" ca="1" si="22">IF(AND(D34 = TRUE, E34 = FALSE), H29+1,H29)</f>
        <v>1</v>
      </c>
      <c r="I34" s="25">
        <f t="shared" ref="I34:I36" ca="1" si="23">SUM(G34:H34)</f>
        <v>1</v>
      </c>
      <c r="J34" s="4"/>
      <c r="K34" s="18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.75">
      <c r="A35" s="26" t="s">
        <v>11</v>
      </c>
      <c r="B35" s="4"/>
      <c r="C35" s="10">
        <f t="shared" ca="1" si="20"/>
        <v>0.61521911288547515</v>
      </c>
      <c r="D35" s="27" t="b">
        <f ca="1">AND(C35&gt;C34,C35&gt;C36)</f>
        <v>0</v>
      </c>
      <c r="E35" s="4" t="str">
        <f ca="1">IF(D35 = TRUE, IF(B33&lt;=$D$1, TRUE, FALSE), " ")</f>
        <v xml:space="preserve"> </v>
      </c>
      <c r="F35" s="4"/>
      <c r="G35" s="13">
        <f t="shared" ca="1" si="21"/>
        <v>2</v>
      </c>
      <c r="H35" s="13">
        <f t="shared" ca="1" si="22"/>
        <v>2</v>
      </c>
      <c r="I35" s="28">
        <f t="shared" ca="1" si="23"/>
        <v>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3.5" thickBot="1">
      <c r="A36" s="29" t="s">
        <v>12</v>
      </c>
      <c r="B36" s="30"/>
      <c r="C36" s="31">
        <f t="shared" ca="1" si="20"/>
        <v>0.87728327713129173</v>
      </c>
      <c r="D36" s="32" t="b">
        <f ca="1">AND(C36&gt;C34,C36&gt;C35)</f>
        <v>1</v>
      </c>
      <c r="E36" s="30" t="b">
        <f ca="1">IF(D36 = TRUE, IF(B33&lt;=$F$1, TRUE, FALSE), " ")</f>
        <v>0</v>
      </c>
      <c r="F36" s="30"/>
      <c r="G36" s="33">
        <f t="shared" ca="1" si="21"/>
        <v>0</v>
      </c>
      <c r="H36" s="33">
        <f t="shared" ca="1" si="22"/>
        <v>1</v>
      </c>
      <c r="I36" s="34">
        <f t="shared" ca="1" si="23"/>
        <v>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75">
      <c r="A37" s="4"/>
      <c r="B37" s="4"/>
      <c r="C37" s="10"/>
      <c r="D37" s="4"/>
      <c r="E37" s="4"/>
      <c r="F37" s="4"/>
      <c r="G37" s="17"/>
      <c r="H37" s="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3.5" thickBot="1">
      <c r="A38" s="4"/>
      <c r="B38" s="4">
        <f ca="1">RAND()</f>
        <v>0.10154268347414352</v>
      </c>
      <c r="C38" s="10"/>
      <c r="D38" s="4"/>
      <c r="E38" s="4"/>
      <c r="F38" s="4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2.75">
      <c r="A39" s="20" t="s">
        <v>10</v>
      </c>
      <c r="B39" s="21"/>
      <c r="C39" s="22">
        <f t="shared" ref="C39:C41" ca="1" si="24">_xlfn.BETA.INV(RAND(),G34+1,H34+1)</f>
        <v>0.16388888328149914</v>
      </c>
      <c r="D39" s="23" t="b">
        <f ca="1">AND(C39&gt;C40,C39&gt;C41)</f>
        <v>0</v>
      </c>
      <c r="E39" s="21" t="str">
        <f ca="1">IF(D39 = TRUE, IF(B38&lt;=$B$1, TRUE, FALSE), " ")</f>
        <v xml:space="preserve"> </v>
      </c>
      <c r="F39" s="21"/>
      <c r="G39" s="24">
        <f t="shared" ref="G39:G41" ca="1" si="25">IF(AND(D39 = TRUE,E39 = TRUE), G34+1,G34)</f>
        <v>0</v>
      </c>
      <c r="H39" s="24">
        <f t="shared" ref="H39:H41" ca="1" si="26">IF(AND(D39 = TRUE, E39 = FALSE), H34+1,H34)</f>
        <v>1</v>
      </c>
      <c r="I39" s="25">
        <f t="shared" ref="I39:I41" ca="1" si="27">SUM(G39:H39)</f>
        <v>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2.75">
      <c r="A40" s="26" t="s">
        <v>11</v>
      </c>
      <c r="B40" s="4"/>
      <c r="C40" s="10">
        <f t="shared" ca="1" si="24"/>
        <v>0.50347765007244449</v>
      </c>
      <c r="D40" s="27" t="b">
        <f ca="1">AND(C40&gt;C39,C40&gt;C41)</f>
        <v>1</v>
      </c>
      <c r="E40" s="4" t="b">
        <f ca="1">IF(D40 = TRUE, IF(B38&lt;=$D$1, TRUE, FALSE), " ")</f>
        <v>1</v>
      </c>
      <c r="F40" s="4"/>
      <c r="G40" s="13">
        <f t="shared" ca="1" si="25"/>
        <v>3</v>
      </c>
      <c r="H40" s="13">
        <f t="shared" ca="1" si="26"/>
        <v>2</v>
      </c>
      <c r="I40" s="28">
        <f t="shared" ca="1" si="27"/>
        <v>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3.5" thickBot="1">
      <c r="A41" s="29" t="s">
        <v>12</v>
      </c>
      <c r="B41" s="30"/>
      <c r="C41" s="31">
        <f t="shared" ca="1" si="24"/>
        <v>0.3152608615844168</v>
      </c>
      <c r="D41" s="32" t="b">
        <f ca="1">AND(C41&gt;C39,C41&gt;C40)</f>
        <v>0</v>
      </c>
      <c r="E41" s="30" t="str">
        <f ca="1">IF(D41 = TRUE, IF(B38&lt;=$F$1, TRUE, FALSE), " ")</f>
        <v xml:space="preserve"> </v>
      </c>
      <c r="F41" s="30"/>
      <c r="G41" s="33">
        <f t="shared" ca="1" si="25"/>
        <v>0</v>
      </c>
      <c r="H41" s="33">
        <f t="shared" ca="1" si="26"/>
        <v>1</v>
      </c>
      <c r="I41" s="34">
        <f t="shared" ca="1" si="27"/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.75">
      <c r="A42" s="35"/>
      <c r="B42" s="4"/>
      <c r="C42" s="10"/>
      <c r="D42" s="4"/>
      <c r="E42" s="4"/>
      <c r="F42" s="4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3.5" thickBot="1">
      <c r="A43" s="35"/>
      <c r="B43" s="4">
        <f ca="1">RAND()</f>
        <v>0.40323133495740193</v>
      </c>
      <c r="C43" s="10"/>
      <c r="D43" s="4"/>
      <c r="E43" s="4"/>
      <c r="F43" s="4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2.75">
      <c r="A44" s="20" t="s">
        <v>10</v>
      </c>
      <c r="B44" s="21"/>
      <c r="C44" s="22">
        <f t="shared" ref="C44:C46" ca="1" si="28">_xlfn.BETA.INV(RAND(),G39+1,H39+1)</f>
        <v>0.2938426963624462</v>
      </c>
      <c r="D44" s="23" t="b">
        <f ca="1">AND(C44&gt;C45,C44&gt;C46)</f>
        <v>0</v>
      </c>
      <c r="E44" s="21" t="str">
        <f ca="1">IF(D44 = TRUE, IF(B43&lt;=$B$1, TRUE, FALSE), " ")</f>
        <v xml:space="preserve"> </v>
      </c>
      <c r="F44" s="21"/>
      <c r="G44" s="24">
        <f t="shared" ref="G44:G46" ca="1" si="29">IF(AND(D44 = TRUE,E44 = TRUE), G39+1,G39)</f>
        <v>0</v>
      </c>
      <c r="H44" s="24">
        <f t="shared" ref="H44:H46" ca="1" si="30">IF(AND(D44 = TRUE, E44 = FALSE), H39+1,H39)</f>
        <v>1</v>
      </c>
      <c r="I44" s="25">
        <f t="shared" ref="I44:I46" ca="1" si="31">SUM(G44:H44)</f>
        <v>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2.75">
      <c r="A45" s="26" t="s">
        <v>11</v>
      </c>
      <c r="B45" s="4"/>
      <c r="C45" s="10">
        <f t="shared" ca="1" si="28"/>
        <v>0.54529860603088809</v>
      </c>
      <c r="D45" s="27" t="b">
        <f ca="1">AND(C45&gt;C44,C45&gt;C46)</f>
        <v>1</v>
      </c>
      <c r="E45" s="4" t="b">
        <f ca="1">IF(D45 = TRUE, IF(B43&lt;=$D$1, TRUE, FALSE), " ")</f>
        <v>1</v>
      </c>
      <c r="F45" s="4"/>
      <c r="G45" s="13">
        <f t="shared" ca="1" si="29"/>
        <v>4</v>
      </c>
      <c r="H45" s="13">
        <f t="shared" ca="1" si="30"/>
        <v>2</v>
      </c>
      <c r="I45" s="28">
        <f t="shared" ca="1" si="31"/>
        <v>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3.5" thickBot="1">
      <c r="A46" s="29" t="s">
        <v>12</v>
      </c>
      <c r="B46" s="30"/>
      <c r="C46" s="31">
        <f t="shared" ca="1" si="28"/>
        <v>0.1809355239396456</v>
      </c>
      <c r="D46" s="32" t="b">
        <f ca="1">AND(C46&gt;C44,C46&gt;C45)</f>
        <v>0</v>
      </c>
      <c r="E46" s="30" t="str">
        <f ca="1">IF(D46 = TRUE, IF(B43&lt;=$F$1, TRUE, FALSE), " ")</f>
        <v xml:space="preserve"> </v>
      </c>
      <c r="F46" s="30"/>
      <c r="G46" s="33">
        <f t="shared" ca="1" si="29"/>
        <v>0</v>
      </c>
      <c r="H46" s="33">
        <f t="shared" ca="1" si="30"/>
        <v>1</v>
      </c>
      <c r="I46" s="34">
        <f t="shared" ca="1" si="31"/>
        <v>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2.75">
      <c r="A47" s="35"/>
      <c r="B47" s="4"/>
      <c r="C47" s="10"/>
      <c r="D47" s="4"/>
      <c r="E47" s="4"/>
      <c r="F47" s="4"/>
      <c r="G47" s="17"/>
      <c r="H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3.5" thickBot="1">
      <c r="A48" s="35"/>
      <c r="B48" s="4">
        <f ca="1">RAND()</f>
        <v>0.66555190957991206</v>
      </c>
      <c r="C48" s="10"/>
      <c r="D48" s="4"/>
      <c r="E48" s="4"/>
      <c r="F48" s="4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.75">
      <c r="A49" s="20" t="s">
        <v>10</v>
      </c>
      <c r="B49" s="21"/>
      <c r="C49" s="22">
        <f t="shared" ref="C49:C51" ca="1" si="32">_xlfn.BETA.INV(RAND(),G44+1,H44+1)</f>
        <v>0.46886222644378495</v>
      </c>
      <c r="D49" s="23" t="b">
        <f ca="1">AND(C49&gt;C50,C49&gt;C51)</f>
        <v>0</v>
      </c>
      <c r="E49" s="21" t="str">
        <f ca="1">IF(D49 = TRUE, IF(B48&lt;=$B$1, TRUE, FALSE), " ")</f>
        <v xml:space="preserve"> </v>
      </c>
      <c r="F49" s="21"/>
      <c r="G49" s="24">
        <f t="shared" ref="G49:G51" ca="1" si="33">IF(AND(D49 = TRUE,E49 = TRUE), G44+1,G44)</f>
        <v>0</v>
      </c>
      <c r="H49" s="24">
        <f t="shared" ref="H49:H51" ca="1" si="34">IF(AND(D49 = TRUE, E49 = FALSE), H44+1,H44)</f>
        <v>1</v>
      </c>
      <c r="I49" s="25">
        <f t="shared" ref="I49:I51" ca="1" si="35">SUM(G49:H49)</f>
        <v>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75">
      <c r="A50" s="26" t="s">
        <v>11</v>
      </c>
      <c r="B50" s="4"/>
      <c r="C50" s="10">
        <f t="shared" ca="1" si="32"/>
        <v>0.73097562420148154</v>
      </c>
      <c r="D50" s="27" t="b">
        <f ca="1">AND(C50&gt;C49,C50&gt;C51)</f>
        <v>1</v>
      </c>
      <c r="E50" s="4" t="b">
        <f ca="1">IF(D50 = TRUE, IF(B48&lt;=$D$1, TRUE, FALSE), " ")</f>
        <v>1</v>
      </c>
      <c r="F50" s="4"/>
      <c r="G50" s="13">
        <f t="shared" ca="1" si="33"/>
        <v>5</v>
      </c>
      <c r="H50" s="13">
        <f t="shared" ca="1" si="34"/>
        <v>2</v>
      </c>
      <c r="I50" s="28">
        <f t="shared" ca="1" si="35"/>
        <v>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3.5" thickBot="1">
      <c r="A51" s="29" t="s">
        <v>12</v>
      </c>
      <c r="B51" s="30"/>
      <c r="C51" s="31">
        <f t="shared" ca="1" si="32"/>
        <v>0.20983764886263864</v>
      </c>
      <c r="D51" s="32" t="b">
        <f ca="1">AND(C51&gt;C49,C51&gt;C50)</f>
        <v>0</v>
      </c>
      <c r="E51" s="30" t="str">
        <f ca="1">IF(D51 = TRUE, IF(B48&lt;=$F$1, TRUE, FALSE), " ")</f>
        <v xml:space="preserve"> </v>
      </c>
      <c r="F51" s="30"/>
      <c r="G51" s="33">
        <f t="shared" ca="1" si="33"/>
        <v>0</v>
      </c>
      <c r="H51" s="33">
        <f t="shared" ca="1" si="34"/>
        <v>1</v>
      </c>
      <c r="I51" s="34">
        <f t="shared" ca="1" si="35"/>
        <v>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75">
      <c r="A52" s="4"/>
      <c r="B52" s="4"/>
      <c r="C52" s="10"/>
      <c r="D52" s="4"/>
      <c r="E52" s="4"/>
      <c r="F52" s="4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3.5" thickBot="1">
      <c r="A53" s="4"/>
      <c r="B53" s="4">
        <f ca="1">RAND()</f>
        <v>0.72463046928825825</v>
      </c>
      <c r="C53" s="10"/>
      <c r="D53" s="4"/>
      <c r="E53" s="4"/>
      <c r="F53" s="4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75">
      <c r="A54" s="20" t="s">
        <v>10</v>
      </c>
      <c r="B54" s="21"/>
      <c r="C54" s="22">
        <f t="shared" ref="C54:C56" ca="1" si="36">_xlfn.BETA.INV(RAND(),G49+1,H49+1)</f>
        <v>4.6220417702714208E-3</v>
      </c>
      <c r="D54" s="23" t="b">
        <f ca="1">AND(C54&gt;C55,C54&gt;C56)</f>
        <v>0</v>
      </c>
      <c r="E54" s="21" t="str">
        <f ca="1">IF(D54 = TRUE, IF(B53&lt;=$B$1, TRUE, FALSE), " ")</f>
        <v xml:space="preserve"> </v>
      </c>
      <c r="F54" s="21"/>
      <c r="G54" s="24">
        <f t="shared" ref="G54:G56" ca="1" si="37">IF(AND(D54 = TRUE,E54 = TRUE), G49+1,G49)</f>
        <v>0</v>
      </c>
      <c r="H54" s="24">
        <f t="shared" ref="H54:H56" ca="1" si="38">IF(AND(D54 = TRUE, E54 = FALSE), H49+1,H49)</f>
        <v>1</v>
      </c>
      <c r="I54" s="25">
        <f t="shared" ref="I54:I56" ca="1" si="39">SUM(G54:H54)</f>
        <v>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75">
      <c r="A55" s="26" t="s">
        <v>11</v>
      </c>
      <c r="B55" s="4"/>
      <c r="C55" s="10">
        <f t="shared" ca="1" si="36"/>
        <v>0.56965030076314571</v>
      </c>
      <c r="D55" s="27" t="b">
        <f ca="1">AND(C55&gt;C54,C55&gt;C56)</f>
        <v>1</v>
      </c>
      <c r="E55" s="4" t="b">
        <f ca="1">IF(D55 = TRUE, IF(B53&lt;=$D$1, TRUE, FALSE), " ")</f>
        <v>1</v>
      </c>
      <c r="F55" s="4"/>
      <c r="G55" s="13">
        <f t="shared" ca="1" si="37"/>
        <v>6</v>
      </c>
      <c r="H55" s="13">
        <f t="shared" ca="1" si="38"/>
        <v>2</v>
      </c>
      <c r="I55" s="28">
        <f t="shared" ca="1" si="39"/>
        <v>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3.5" thickBot="1">
      <c r="A56" s="29" t="s">
        <v>12</v>
      </c>
      <c r="B56" s="30"/>
      <c r="C56" s="31">
        <f t="shared" ca="1" si="36"/>
        <v>0.54449890860457184</v>
      </c>
      <c r="D56" s="32" t="b">
        <f ca="1">AND(C56&gt;C54,C56&gt;C55)</f>
        <v>0</v>
      </c>
      <c r="E56" s="30" t="str">
        <f ca="1">IF(D56 = TRUE, IF(B53&lt;=$F$1, TRUE, FALSE), " ")</f>
        <v xml:space="preserve"> </v>
      </c>
      <c r="F56" s="30"/>
      <c r="G56" s="33">
        <f t="shared" ca="1" si="37"/>
        <v>0</v>
      </c>
      <c r="H56" s="33">
        <f t="shared" ca="1" si="38"/>
        <v>1</v>
      </c>
      <c r="I56" s="34">
        <f t="shared" ca="1" si="39"/>
        <v>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75">
      <c r="A57" s="35"/>
      <c r="B57" s="4"/>
      <c r="C57" s="10"/>
      <c r="D57" s="4"/>
      <c r="E57" s="4"/>
      <c r="F57" s="4"/>
      <c r="G57" s="17"/>
      <c r="H57" s="1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3.5" thickBot="1">
      <c r="A58" s="35"/>
      <c r="B58" s="4">
        <f ca="1">RAND()</f>
        <v>0.81310659659512419</v>
      </c>
      <c r="C58" s="10"/>
      <c r="D58" s="4"/>
      <c r="E58" s="4"/>
      <c r="F58" s="4"/>
      <c r="G58" s="7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75">
      <c r="A59" s="20" t="s">
        <v>10</v>
      </c>
      <c r="B59" s="21"/>
      <c r="C59" s="22">
        <f t="shared" ref="C59:C61" ca="1" si="40">_xlfn.BETA.INV(RAND(),G54+1,H54+1)</f>
        <v>0.33212818343722939</v>
      </c>
      <c r="D59" s="23" t="b">
        <f ca="1">AND(C59&gt;C60,C59&gt;C61)</f>
        <v>0</v>
      </c>
      <c r="E59" s="21" t="str">
        <f ca="1">IF(D59 = TRUE, IF(B58&lt;=$B$1, TRUE, FALSE), " ")</f>
        <v xml:space="preserve"> </v>
      </c>
      <c r="F59" s="21"/>
      <c r="G59" s="24">
        <f t="shared" ref="G59:G61" ca="1" si="41">IF(AND(D59 = TRUE,E59 = TRUE), G54+1,G54)</f>
        <v>0</v>
      </c>
      <c r="H59" s="24">
        <f t="shared" ref="H59:H61" ca="1" si="42">IF(AND(D59 = TRUE, E59 = FALSE), H54+1,H54)</f>
        <v>1</v>
      </c>
      <c r="I59" s="25">
        <f t="shared" ref="I59:I61" ca="1" si="43">SUM(G59:H59)</f>
        <v>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75">
      <c r="A60" s="26" t="s">
        <v>11</v>
      </c>
      <c r="B60" s="4"/>
      <c r="C60" s="10">
        <f t="shared" ca="1" si="40"/>
        <v>0.61357835353857848</v>
      </c>
      <c r="D60" s="27" t="b">
        <f ca="1">AND(C60&gt;C59,C60&gt;C61)</f>
        <v>1</v>
      </c>
      <c r="E60" s="4" t="b">
        <f ca="1">IF(D60 = TRUE, IF(B58&lt;=$D$1, TRUE, FALSE), " ")</f>
        <v>0</v>
      </c>
      <c r="F60" s="4"/>
      <c r="G60" s="13">
        <f t="shared" ca="1" si="41"/>
        <v>6</v>
      </c>
      <c r="H60" s="13">
        <f t="shared" ca="1" si="42"/>
        <v>3</v>
      </c>
      <c r="I60" s="28">
        <f t="shared" ca="1" si="43"/>
        <v>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3.5" thickBot="1">
      <c r="A61" s="29" t="s">
        <v>12</v>
      </c>
      <c r="B61" s="30"/>
      <c r="C61" s="31">
        <f t="shared" ca="1" si="40"/>
        <v>7.4687209818822455E-3</v>
      </c>
      <c r="D61" s="32" t="b">
        <f ca="1">AND(C61&gt;C59,C61&gt;C60)</f>
        <v>0</v>
      </c>
      <c r="E61" s="30" t="str">
        <f ca="1">IF(D61 = TRUE, IF(B58&lt;=$F$1, TRUE, FALSE), " ")</f>
        <v xml:space="preserve"> </v>
      </c>
      <c r="F61" s="30"/>
      <c r="G61" s="33">
        <f t="shared" ca="1" si="41"/>
        <v>0</v>
      </c>
      <c r="H61" s="33">
        <f t="shared" ca="1" si="42"/>
        <v>1</v>
      </c>
      <c r="I61" s="34">
        <f t="shared" ca="1" si="43"/>
        <v>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75">
      <c r="A62" s="35"/>
      <c r="B62" s="4"/>
      <c r="C62" s="10"/>
      <c r="D62" s="4"/>
      <c r="E62" s="4"/>
      <c r="F62" s="4"/>
      <c r="G62" s="7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3.5" thickBot="1">
      <c r="A63" s="35"/>
      <c r="B63" s="4">
        <f ca="1">RAND()</f>
        <v>0.66293376869058185</v>
      </c>
      <c r="C63" s="10"/>
      <c r="D63" s="4"/>
      <c r="E63" s="4"/>
      <c r="F63" s="4"/>
      <c r="G63" s="7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75">
      <c r="A64" s="20" t="s">
        <v>10</v>
      </c>
      <c r="B64" s="21"/>
      <c r="C64" s="22">
        <f t="shared" ref="C64:C66" ca="1" si="44">_xlfn.BETA.INV(RAND(),G59+1,H59+1)</f>
        <v>0.65504723829332301</v>
      </c>
      <c r="D64" s="23" t="b">
        <f ca="1">AND(C64&gt;C65,C64&gt;C66)</f>
        <v>0</v>
      </c>
      <c r="E64" s="21" t="str">
        <f ca="1">IF(D64 = TRUE, IF(B63&lt;=$B$1, TRUE, FALSE), " ")</f>
        <v xml:space="preserve"> </v>
      </c>
      <c r="F64" s="21"/>
      <c r="G64" s="24">
        <f t="shared" ref="G64:G66" ca="1" si="45">IF(AND(D64 = TRUE,E64 = TRUE), G59+1,G59)</f>
        <v>0</v>
      </c>
      <c r="H64" s="24">
        <f t="shared" ref="H64:H66" ca="1" si="46">IF(AND(D64 = TRUE, E64 = FALSE), H59+1,H59)</f>
        <v>1</v>
      </c>
      <c r="I64" s="25">
        <f t="shared" ref="I64:I66" ca="1" si="47">SUM(G64:H64)</f>
        <v>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75">
      <c r="A65" s="26" t="s">
        <v>11</v>
      </c>
      <c r="B65" s="4"/>
      <c r="C65" s="10">
        <f t="shared" ca="1" si="44"/>
        <v>0.82028817541291954</v>
      </c>
      <c r="D65" s="27" t="b">
        <f ca="1">AND(C65&gt;C64,C65&gt;C66)</f>
        <v>1</v>
      </c>
      <c r="E65" s="4" t="b">
        <f ca="1">IF(D65 = TRUE, IF(B63&lt;=$D$1, TRUE, FALSE), " ")</f>
        <v>1</v>
      </c>
      <c r="F65" s="4"/>
      <c r="G65" s="13">
        <f t="shared" ca="1" si="45"/>
        <v>7</v>
      </c>
      <c r="H65" s="13">
        <f t="shared" ca="1" si="46"/>
        <v>3</v>
      </c>
      <c r="I65" s="28">
        <f t="shared" ca="1" si="47"/>
        <v>10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3.5" thickBot="1">
      <c r="A66" s="29" t="s">
        <v>12</v>
      </c>
      <c r="B66" s="30"/>
      <c r="C66" s="31">
        <f t="shared" ca="1" si="44"/>
        <v>0.34093421189256812</v>
      </c>
      <c r="D66" s="32" t="b">
        <f ca="1">AND(C66&gt;C64,C66&gt;C65)</f>
        <v>0</v>
      </c>
      <c r="E66" s="30" t="str">
        <f ca="1">IF(D66 = TRUE, IF(B63&lt;=$F$1, TRUE, FALSE), " ")</f>
        <v xml:space="preserve"> </v>
      </c>
      <c r="F66" s="30"/>
      <c r="G66" s="33">
        <f t="shared" ca="1" si="45"/>
        <v>0</v>
      </c>
      <c r="H66" s="33">
        <f t="shared" ca="1" si="46"/>
        <v>1</v>
      </c>
      <c r="I66" s="34">
        <f t="shared" ca="1" si="47"/>
        <v>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>
      <c r="A67" s="4"/>
      <c r="B67" s="4"/>
      <c r="C67" s="10"/>
      <c r="D67" s="4"/>
      <c r="E67" s="4"/>
      <c r="F67" s="4"/>
      <c r="G67" s="17"/>
      <c r="H67" s="1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3.5" thickBot="1">
      <c r="A68" s="4"/>
      <c r="B68" s="4">
        <f ca="1">RAND()</f>
        <v>0.9563523140381861</v>
      </c>
      <c r="C68" s="10"/>
      <c r="D68" s="4"/>
      <c r="E68" s="4"/>
      <c r="F68" s="4"/>
      <c r="G68" s="7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75">
      <c r="A69" s="20" t="s">
        <v>10</v>
      </c>
      <c r="B69" s="21"/>
      <c r="C69" s="22">
        <f t="shared" ref="C69:C71" ca="1" si="48">_xlfn.BETA.INV(RAND(),G64+1,H64+1)</f>
        <v>0.21212447502875773</v>
      </c>
      <c r="D69" s="23" t="b">
        <f ca="1">AND(C69&gt;C70,C69&gt;C71)</f>
        <v>0</v>
      </c>
      <c r="E69" s="21" t="str">
        <f ca="1">IF(D69 = TRUE, IF(B68&lt;=$B$1, TRUE, FALSE), " ")</f>
        <v xml:space="preserve"> </v>
      </c>
      <c r="F69" s="21"/>
      <c r="G69" s="24">
        <f t="shared" ref="G69:G71" ca="1" si="49">IF(AND(D69 = TRUE,E69 = TRUE), G64+1,G64)</f>
        <v>0</v>
      </c>
      <c r="H69" s="24">
        <f t="shared" ref="H69:H71" ca="1" si="50">IF(AND(D69 = TRUE, E69 = FALSE), H64+1,H64)</f>
        <v>1</v>
      </c>
      <c r="I69" s="25">
        <f t="shared" ref="I69:I71" ca="1" si="51">SUM(G69:H69)</f>
        <v>1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75">
      <c r="A70" s="26" t="s">
        <v>11</v>
      </c>
      <c r="B70" s="4"/>
      <c r="C70" s="10">
        <f t="shared" ca="1" si="48"/>
        <v>0.64809929659916532</v>
      </c>
      <c r="D70" s="27" t="b">
        <f ca="1">AND(C70&gt;C69,C70&gt;C71)</f>
        <v>1</v>
      </c>
      <c r="E70" s="4" t="b">
        <f ca="1">IF(D70 = TRUE, IF(B68&lt;=$D$1, TRUE, FALSE), " ")</f>
        <v>0</v>
      </c>
      <c r="F70" s="4"/>
      <c r="G70" s="13">
        <f t="shared" ca="1" si="49"/>
        <v>7</v>
      </c>
      <c r="H70" s="13">
        <f t="shared" ca="1" si="50"/>
        <v>4</v>
      </c>
      <c r="I70" s="28">
        <f t="shared" ca="1" si="51"/>
        <v>11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3.5" thickBot="1">
      <c r="A71" s="29" t="s">
        <v>12</v>
      </c>
      <c r="B71" s="30"/>
      <c r="C71" s="31">
        <f t="shared" ca="1" si="48"/>
        <v>0.58580665012694699</v>
      </c>
      <c r="D71" s="32" t="b">
        <f ca="1">AND(C71&gt;C69,C71&gt;C70)</f>
        <v>0</v>
      </c>
      <c r="E71" s="30" t="str">
        <f ca="1">IF(D71 = TRUE, IF(B68&lt;=$F$1, TRUE, FALSE), " ")</f>
        <v xml:space="preserve"> </v>
      </c>
      <c r="F71" s="30"/>
      <c r="G71" s="33">
        <f t="shared" ca="1" si="49"/>
        <v>0</v>
      </c>
      <c r="H71" s="33">
        <f t="shared" ca="1" si="50"/>
        <v>1</v>
      </c>
      <c r="I71" s="34">
        <f t="shared" ca="1" si="51"/>
        <v>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75">
      <c r="A72" s="35"/>
      <c r="B72" s="4"/>
      <c r="C72" s="10"/>
      <c r="D72" s="4"/>
      <c r="E72" s="4"/>
      <c r="F72" s="4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3.5" thickBot="1">
      <c r="A73" s="35"/>
      <c r="B73" s="4">
        <f ca="1">RAND()</f>
        <v>0.76965714409177821</v>
      </c>
      <c r="C73" s="10"/>
      <c r="D73" s="4"/>
      <c r="E73" s="4"/>
      <c r="F73" s="4"/>
      <c r="G73" s="7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75">
      <c r="A74" s="20" t="s">
        <v>10</v>
      </c>
      <c r="B74" s="21"/>
      <c r="C74" s="22">
        <f t="shared" ref="C74:C76" ca="1" si="52">_xlfn.BETA.INV(RAND(),G69+1,H69+1)</f>
        <v>0.27210988078066689</v>
      </c>
      <c r="D74" s="23" t="b">
        <f ca="1">AND(C74&gt;C75,C74&gt;C76)</f>
        <v>0</v>
      </c>
      <c r="E74" s="21" t="str">
        <f ca="1">IF(D74 = TRUE, IF(B73&lt;=$B$1, TRUE, FALSE), " ")</f>
        <v xml:space="preserve"> </v>
      </c>
      <c r="F74" s="21"/>
      <c r="G74" s="24">
        <f t="shared" ref="G74:G76" ca="1" si="53">IF(AND(D74 = TRUE,E74 = TRUE), G69+1,G69)</f>
        <v>0</v>
      </c>
      <c r="H74" s="24">
        <f t="shared" ref="H74:H76" ca="1" si="54">IF(AND(D74 = TRUE, E74 = FALSE), H69+1,H69)</f>
        <v>1</v>
      </c>
      <c r="I74" s="25">
        <f t="shared" ref="I74:I76" ca="1" si="55">SUM(G74:H74)</f>
        <v>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75">
      <c r="A75" s="26" t="s">
        <v>11</v>
      </c>
      <c r="B75" s="4"/>
      <c r="C75" s="10">
        <f t="shared" ca="1" si="52"/>
        <v>0.62104938508768903</v>
      </c>
      <c r="D75" s="27" t="b">
        <f ca="1">AND(C75&gt;C74,C75&gt;C76)</f>
        <v>1</v>
      </c>
      <c r="E75" s="4" t="b">
        <f ca="1">IF(D75 = TRUE, IF(B73&lt;=$D$1, TRUE, FALSE), " ")</f>
        <v>1</v>
      </c>
      <c r="F75" s="4"/>
      <c r="G75" s="13">
        <f t="shared" ca="1" si="53"/>
        <v>8</v>
      </c>
      <c r="H75" s="13">
        <f t="shared" ca="1" si="54"/>
        <v>4</v>
      </c>
      <c r="I75" s="28">
        <f t="shared" ca="1" si="55"/>
        <v>12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3.5" thickBot="1">
      <c r="A76" s="29" t="s">
        <v>12</v>
      </c>
      <c r="B76" s="30"/>
      <c r="C76" s="31">
        <f t="shared" ca="1" si="52"/>
        <v>0.3934302327136151</v>
      </c>
      <c r="D76" s="32" t="b">
        <f ca="1">AND(C76&gt;C74,C76&gt;C75)</f>
        <v>0</v>
      </c>
      <c r="E76" s="30" t="str">
        <f ca="1">IF(D76 = TRUE, IF(B73&lt;=$F$1, TRUE, FALSE), " ")</f>
        <v xml:space="preserve"> </v>
      </c>
      <c r="F76" s="30"/>
      <c r="G76" s="33">
        <f t="shared" ca="1" si="53"/>
        <v>0</v>
      </c>
      <c r="H76" s="33">
        <f t="shared" ca="1" si="54"/>
        <v>1</v>
      </c>
      <c r="I76" s="34">
        <f t="shared" ca="1" si="55"/>
        <v>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.75">
      <c r="A77" s="35"/>
      <c r="B77" s="4"/>
      <c r="C77" s="10"/>
      <c r="D77" s="4"/>
      <c r="E77" s="4"/>
      <c r="F77" s="4"/>
      <c r="G77" s="17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3.5" thickBot="1">
      <c r="A78" s="35"/>
      <c r="B78" s="4">
        <f ca="1">RAND()</f>
        <v>0.92088072103720098</v>
      </c>
      <c r="C78" s="10"/>
      <c r="D78" s="4"/>
      <c r="E78" s="4"/>
      <c r="F78" s="4"/>
      <c r="G78" s="7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75">
      <c r="A79" s="20" t="s">
        <v>10</v>
      </c>
      <c r="B79" s="21"/>
      <c r="C79" s="22">
        <f t="shared" ref="C79:C81" ca="1" si="56">_xlfn.BETA.INV(RAND(),G74+1,H74+1)</f>
        <v>0.90051890810304225</v>
      </c>
      <c r="D79" s="23" t="b">
        <f ca="1">AND(C79&gt;C80,C79&gt;C81)</f>
        <v>1</v>
      </c>
      <c r="E79" s="21" t="b">
        <f ca="1">IF(D79 = TRUE, IF(B78&lt;=$B$1, TRUE, FALSE), " ")</f>
        <v>0</v>
      </c>
      <c r="F79" s="21"/>
      <c r="G79" s="24">
        <f t="shared" ref="G79:G81" ca="1" si="57">IF(AND(D79 = TRUE,E79 = TRUE), G74+1,G74)</f>
        <v>0</v>
      </c>
      <c r="H79" s="24">
        <f t="shared" ref="H79:H81" ca="1" si="58">IF(AND(D79 = TRUE, E79 = FALSE), H74+1,H74)</f>
        <v>2</v>
      </c>
      <c r="I79" s="25">
        <f t="shared" ref="I79:I81" ca="1" si="59">SUM(G79:H79)</f>
        <v>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75">
      <c r="A80" s="26" t="s">
        <v>11</v>
      </c>
      <c r="B80" s="4"/>
      <c r="C80" s="10">
        <f t="shared" ca="1" si="56"/>
        <v>0.55842164778132475</v>
      </c>
      <c r="D80" s="27" t="b">
        <f ca="1">AND(C80&gt;C79,C80&gt;C81)</f>
        <v>0</v>
      </c>
      <c r="E80" s="4" t="str">
        <f ca="1">IF(D80 = TRUE, IF(B78&lt;=$D$1, TRUE, FALSE), " ")</f>
        <v xml:space="preserve"> </v>
      </c>
      <c r="F80" s="4"/>
      <c r="G80" s="13">
        <f t="shared" ca="1" si="57"/>
        <v>8</v>
      </c>
      <c r="H80" s="13">
        <f t="shared" ca="1" si="58"/>
        <v>4</v>
      </c>
      <c r="I80" s="28">
        <f t="shared" ca="1" si="59"/>
        <v>12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3.5" thickBot="1">
      <c r="A81" s="29" t="s">
        <v>12</v>
      </c>
      <c r="B81" s="30"/>
      <c r="C81" s="31">
        <f t="shared" ca="1" si="56"/>
        <v>0.35747224974561187</v>
      </c>
      <c r="D81" s="32" t="b">
        <f ca="1">AND(C81&gt;C79,C81&gt;C80)</f>
        <v>0</v>
      </c>
      <c r="E81" s="30" t="str">
        <f ca="1">IF(D81 = TRUE, IF(B78&lt;=$F$1, TRUE, FALSE), " ")</f>
        <v xml:space="preserve"> </v>
      </c>
      <c r="F81" s="30"/>
      <c r="G81" s="33">
        <f t="shared" ca="1" si="57"/>
        <v>0</v>
      </c>
      <c r="H81" s="33">
        <f t="shared" ca="1" si="58"/>
        <v>1</v>
      </c>
      <c r="I81" s="34">
        <f t="shared" ca="1" si="59"/>
        <v>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75">
      <c r="A82" s="4"/>
      <c r="B82" s="4"/>
      <c r="C82" s="10"/>
      <c r="D82" s="4"/>
      <c r="E82" s="4"/>
      <c r="F82" s="4"/>
      <c r="G82" s="7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3.5" thickBot="1">
      <c r="A83" s="4"/>
      <c r="B83" s="4">
        <f ca="1">RAND()</f>
        <v>0.89793958449989053</v>
      </c>
      <c r="C83" s="10"/>
      <c r="D83" s="4"/>
      <c r="E83" s="4"/>
      <c r="F83" s="4"/>
      <c r="G83" s="7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75">
      <c r="A84" s="20" t="s">
        <v>10</v>
      </c>
      <c r="B84" s="21"/>
      <c r="C84" s="22">
        <f t="shared" ref="C84:C86" ca="1" si="60">_xlfn.BETA.INV(RAND(),G79+1,H79+1)</f>
        <v>0.55622727709867215</v>
      </c>
      <c r="D84" s="23" t="b">
        <f ca="1">AND(C84&gt;C85,C84&gt;C86)</f>
        <v>1</v>
      </c>
      <c r="E84" s="21" t="b">
        <f ca="1">IF(D84 = TRUE, IF(B83&lt;=$B$1, TRUE, FALSE), " ")</f>
        <v>0</v>
      </c>
      <c r="F84" s="21"/>
      <c r="G84" s="24">
        <f t="shared" ref="G84:G86" ca="1" si="61">IF(AND(D84 = TRUE,E84 = TRUE), G79+1,G79)</f>
        <v>0</v>
      </c>
      <c r="H84" s="24">
        <f t="shared" ref="H84:H86" ca="1" si="62">IF(AND(D84 = TRUE, E84 = FALSE), H79+1,H79)</f>
        <v>3</v>
      </c>
      <c r="I84" s="25">
        <f t="shared" ref="I84:I86" ca="1" si="63">SUM(G84:H84)</f>
        <v>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75">
      <c r="A85" s="26" t="s">
        <v>11</v>
      </c>
      <c r="B85" s="4"/>
      <c r="C85" s="10">
        <f t="shared" ca="1" si="60"/>
        <v>0.54476862238059887</v>
      </c>
      <c r="D85" s="27" t="b">
        <f ca="1">AND(C85&gt;C84,C85&gt;C86)</f>
        <v>0</v>
      </c>
      <c r="E85" s="4" t="str">
        <f ca="1">IF(D85 = TRUE, IF(B83&lt;=$D$1, TRUE, FALSE), " ")</f>
        <v xml:space="preserve"> </v>
      </c>
      <c r="F85" s="4"/>
      <c r="G85" s="13">
        <f t="shared" ca="1" si="61"/>
        <v>8</v>
      </c>
      <c r="H85" s="13">
        <f t="shared" ca="1" si="62"/>
        <v>4</v>
      </c>
      <c r="I85" s="28">
        <f t="shared" ca="1" si="63"/>
        <v>12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3.5" thickBot="1">
      <c r="A86" s="29" t="s">
        <v>12</v>
      </c>
      <c r="B86" s="30"/>
      <c r="C86" s="31">
        <f t="shared" ca="1" si="60"/>
        <v>5.8590370453615405E-2</v>
      </c>
      <c r="D86" s="32" t="b">
        <f ca="1">AND(C86&gt;C84,C86&gt;C85)</f>
        <v>0</v>
      </c>
      <c r="E86" s="30" t="str">
        <f ca="1">IF(D86 = TRUE, IF(B83&lt;=$F$1, TRUE, FALSE), " ")</f>
        <v xml:space="preserve"> </v>
      </c>
      <c r="F86" s="30"/>
      <c r="G86" s="33">
        <f t="shared" ca="1" si="61"/>
        <v>0</v>
      </c>
      <c r="H86" s="33">
        <f t="shared" ca="1" si="62"/>
        <v>1</v>
      </c>
      <c r="I86" s="34">
        <f t="shared" ca="1" si="63"/>
        <v>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.75">
      <c r="A87" s="35"/>
      <c r="B87" s="4"/>
      <c r="C87" s="10"/>
      <c r="D87" s="4"/>
      <c r="E87" s="4"/>
      <c r="F87" s="4"/>
      <c r="G87" s="17"/>
      <c r="H87" s="1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3.5" thickBot="1">
      <c r="A88" s="35"/>
      <c r="B88" s="4">
        <f ca="1">RAND()</f>
        <v>0.3903978410015253</v>
      </c>
      <c r="C88" s="10"/>
      <c r="D88" s="4"/>
      <c r="E88" s="4"/>
      <c r="F88" s="4"/>
      <c r="G88" s="7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.75">
      <c r="A89" s="20" t="s">
        <v>10</v>
      </c>
      <c r="B89" s="21"/>
      <c r="C89" s="22">
        <f t="shared" ref="C89:C91" ca="1" si="64">_xlfn.BETA.INV(RAND(),G84+1,H84+1)</f>
        <v>6.241870469358099E-2</v>
      </c>
      <c r="D89" s="23" t="b">
        <f ca="1">AND(C89&gt;C90,C89&gt;C91)</f>
        <v>0</v>
      </c>
      <c r="E89" s="21" t="str">
        <f ca="1">IF(D89 = TRUE, IF(B88&lt;=$B$1, TRUE, FALSE), " ")</f>
        <v xml:space="preserve"> </v>
      </c>
      <c r="F89" s="21"/>
      <c r="G89" s="24">
        <f t="shared" ref="G89:G91" ca="1" si="65">IF(AND(D89 = TRUE,E89 = TRUE), G84+1,G84)</f>
        <v>0</v>
      </c>
      <c r="H89" s="24">
        <f t="shared" ref="H89:H91" ca="1" si="66">IF(AND(D89 = TRUE, E89 = FALSE), H84+1,H84)</f>
        <v>3</v>
      </c>
      <c r="I89" s="25">
        <f t="shared" ref="I89:I91" ca="1" si="67">SUM(G89:H89)</f>
        <v>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.75">
      <c r="A90" s="26" t="s">
        <v>11</v>
      </c>
      <c r="B90" s="4"/>
      <c r="C90" s="10">
        <f t="shared" ca="1" si="64"/>
        <v>0.82157875902325539</v>
      </c>
      <c r="D90" s="27" t="b">
        <f ca="1">AND(C90&gt;C89,C90&gt;C91)</f>
        <v>1</v>
      </c>
      <c r="E90" s="4" t="b">
        <f ca="1">IF(D90 = TRUE, IF(B88&lt;=$D$1, TRUE, FALSE), " ")</f>
        <v>1</v>
      </c>
      <c r="F90" s="4"/>
      <c r="G90" s="13">
        <f t="shared" ca="1" si="65"/>
        <v>9</v>
      </c>
      <c r="H90" s="13">
        <f t="shared" ca="1" si="66"/>
        <v>4</v>
      </c>
      <c r="I90" s="28">
        <f t="shared" ca="1" si="67"/>
        <v>13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3.5" thickBot="1">
      <c r="A91" s="29" t="s">
        <v>12</v>
      </c>
      <c r="B91" s="30"/>
      <c r="C91" s="31">
        <f t="shared" ca="1" si="64"/>
        <v>5.7796128175276885E-2</v>
      </c>
      <c r="D91" s="32" t="b">
        <f ca="1">AND(C91&gt;C89,C91&gt;C90)</f>
        <v>0</v>
      </c>
      <c r="E91" s="30" t="str">
        <f ca="1">IF(D91 = TRUE, IF(B88&lt;=$F$1, TRUE, FALSE), " ")</f>
        <v xml:space="preserve"> </v>
      </c>
      <c r="F91" s="30"/>
      <c r="G91" s="33">
        <f t="shared" ca="1" si="65"/>
        <v>0</v>
      </c>
      <c r="H91" s="33">
        <f t="shared" ca="1" si="66"/>
        <v>1</v>
      </c>
      <c r="I91" s="34">
        <f t="shared" ca="1" si="67"/>
        <v>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.75">
      <c r="A92" s="35"/>
      <c r="B92" s="4"/>
      <c r="C92" s="10"/>
      <c r="D92" s="4"/>
      <c r="E92" s="4"/>
      <c r="F92" s="4"/>
      <c r="G92" s="7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3.5" thickBot="1">
      <c r="A93" s="35"/>
      <c r="B93" s="4">
        <f ca="1">RAND()</f>
        <v>0.35704836607857382</v>
      </c>
      <c r="C93" s="10"/>
      <c r="D93" s="4"/>
      <c r="E93" s="4"/>
      <c r="F93" s="4"/>
      <c r="G93" s="7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.75">
      <c r="A94" s="20" t="s">
        <v>10</v>
      </c>
      <c r="B94" s="21"/>
      <c r="C94" s="22">
        <f t="shared" ref="C94:C96" ca="1" si="68">_xlfn.BETA.INV(RAND(),G89+1,H89+1)</f>
        <v>3.4885646068341408E-2</v>
      </c>
      <c r="D94" s="23" t="b">
        <f ca="1">AND(C94&gt;C95,C94&gt;C96)</f>
        <v>0</v>
      </c>
      <c r="E94" s="21" t="str">
        <f ca="1">IF(D94 = TRUE, IF(B93&lt;=$B$1, TRUE, FALSE), " ")</f>
        <v xml:space="preserve"> </v>
      </c>
      <c r="F94" s="21"/>
      <c r="G94" s="24">
        <f t="shared" ref="G94:G96" ca="1" si="69">IF(AND(D94 = TRUE,E94 = TRUE), G89+1,G89)</f>
        <v>0</v>
      </c>
      <c r="H94" s="24">
        <f t="shared" ref="H94:H96" ca="1" si="70">IF(AND(D94 = TRUE, E94 = FALSE), H89+1,H89)</f>
        <v>3</v>
      </c>
      <c r="I94" s="25">
        <f t="shared" ref="I94:I96" ca="1" si="71">SUM(G94:H94)</f>
        <v>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.75">
      <c r="A95" s="26" t="s">
        <v>11</v>
      </c>
      <c r="B95" s="4"/>
      <c r="C95" s="10">
        <f t="shared" ca="1" si="68"/>
        <v>0.77328264252383216</v>
      </c>
      <c r="D95" s="27" t="b">
        <f ca="1">AND(C95&gt;C94,C95&gt;C96)</f>
        <v>1</v>
      </c>
      <c r="E95" s="4" t="b">
        <f ca="1">IF(D95 = TRUE, IF(B93&lt;=$D$1, TRUE, FALSE), " ")</f>
        <v>1</v>
      </c>
      <c r="F95" s="4"/>
      <c r="G95" s="13">
        <f t="shared" ca="1" si="69"/>
        <v>10</v>
      </c>
      <c r="H95" s="13">
        <f t="shared" ca="1" si="70"/>
        <v>4</v>
      </c>
      <c r="I95" s="28">
        <f t="shared" ca="1" si="71"/>
        <v>14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3.5" thickBot="1">
      <c r="A96" s="29" t="s">
        <v>12</v>
      </c>
      <c r="B96" s="30"/>
      <c r="C96" s="31">
        <f t="shared" ca="1" si="68"/>
        <v>0.20249721231450579</v>
      </c>
      <c r="D96" s="32" t="b">
        <f ca="1">AND(C96&gt;C94,C96&gt;C95)</f>
        <v>0</v>
      </c>
      <c r="E96" s="30" t="str">
        <f ca="1">IF(D96 = TRUE, IF(B93&lt;=$F$1, TRUE, FALSE), " ")</f>
        <v xml:space="preserve"> </v>
      </c>
      <c r="F96" s="30"/>
      <c r="G96" s="33">
        <f t="shared" ca="1" si="69"/>
        <v>0</v>
      </c>
      <c r="H96" s="33">
        <f t="shared" ca="1" si="70"/>
        <v>1</v>
      </c>
      <c r="I96" s="34">
        <f t="shared" ca="1" si="71"/>
        <v>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.75">
      <c r="A97" s="4"/>
      <c r="B97" s="4"/>
      <c r="C97" s="10"/>
      <c r="D97" s="4"/>
      <c r="E97" s="4"/>
      <c r="F97" s="4"/>
      <c r="G97" s="17"/>
      <c r="H97" s="1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3.5" thickBot="1">
      <c r="A98" s="4"/>
      <c r="B98" s="4">
        <f ca="1">RAND()</f>
        <v>7.7928493718327774E-2</v>
      </c>
      <c r="C98" s="10"/>
      <c r="D98" s="4"/>
      <c r="E98" s="4"/>
      <c r="F98" s="4"/>
      <c r="G98" s="7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.75">
      <c r="A99" s="20" t="s">
        <v>10</v>
      </c>
      <c r="B99" s="21"/>
      <c r="C99" s="22">
        <f t="shared" ref="C99:C101" ca="1" si="72">_xlfn.BETA.INV(RAND(),G94+1,H94+1)</f>
        <v>4.0899630691356437E-2</v>
      </c>
      <c r="D99" s="23" t="b">
        <f ca="1">AND(C99&gt;C100,C99&gt;C101)</f>
        <v>0</v>
      </c>
      <c r="E99" s="21" t="str">
        <f ca="1">IF(D99 = TRUE, IF(B98&lt;=$B$1, TRUE, FALSE), " ")</f>
        <v xml:space="preserve"> </v>
      </c>
      <c r="F99" s="21"/>
      <c r="G99" s="24">
        <f t="shared" ref="G99:G101" ca="1" si="73">IF(AND(D99 = TRUE,E99 = TRUE), G94+1,G94)</f>
        <v>0</v>
      </c>
      <c r="H99" s="24">
        <f t="shared" ref="H99:H101" ca="1" si="74">IF(AND(D99 = TRUE, E99 = FALSE), H94+1,H94)</f>
        <v>3</v>
      </c>
      <c r="I99" s="25">
        <f t="shared" ref="I99:I101" ca="1" si="75">SUM(G99:H99)</f>
        <v>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.75">
      <c r="A100" s="26" t="s">
        <v>11</v>
      </c>
      <c r="B100" s="4"/>
      <c r="C100" s="10">
        <f t="shared" ca="1" si="72"/>
        <v>0.82177691089340876</v>
      </c>
      <c r="D100" s="27" t="b">
        <f ca="1">AND(C100&gt;C99,C100&gt;C101)</f>
        <v>1</v>
      </c>
      <c r="E100" s="4" t="b">
        <f ca="1">IF(D100 = TRUE, IF(B98&lt;=$D$1, TRUE, FALSE), " ")</f>
        <v>1</v>
      </c>
      <c r="F100" s="4"/>
      <c r="G100" s="13">
        <f t="shared" ca="1" si="73"/>
        <v>11</v>
      </c>
      <c r="H100" s="13">
        <f t="shared" ca="1" si="74"/>
        <v>4</v>
      </c>
      <c r="I100" s="28">
        <f t="shared" ca="1" si="75"/>
        <v>15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3.5" thickBot="1">
      <c r="A101" s="29" t="s">
        <v>12</v>
      </c>
      <c r="B101" s="30"/>
      <c r="C101" s="31">
        <f t="shared" ca="1" si="72"/>
        <v>8.2161958020609271E-2</v>
      </c>
      <c r="D101" s="32" t="b">
        <f ca="1">AND(C101&gt;C99,C101&gt;C100)</f>
        <v>0</v>
      </c>
      <c r="E101" s="30" t="str">
        <f ca="1">IF(D101 = TRUE, IF(B98&lt;=$F$1, TRUE, FALSE), " ")</f>
        <v xml:space="preserve"> </v>
      </c>
      <c r="F101" s="30"/>
      <c r="G101" s="33">
        <f t="shared" ca="1" si="73"/>
        <v>0</v>
      </c>
      <c r="H101" s="33">
        <f t="shared" ca="1" si="74"/>
        <v>1</v>
      </c>
      <c r="I101" s="34">
        <f t="shared" ca="1" si="75"/>
        <v>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.75">
      <c r="A102" s="35"/>
      <c r="B102" s="4"/>
      <c r="C102" s="10"/>
      <c r="D102" s="4"/>
      <c r="E102" s="4"/>
      <c r="F102" s="4"/>
      <c r="G102" s="7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3.5" thickBot="1">
      <c r="A103" s="35"/>
      <c r="B103" s="4">
        <f ca="1">RAND()</f>
        <v>0.10263518915742997</v>
      </c>
      <c r="C103" s="10"/>
      <c r="D103" s="4"/>
      <c r="E103" s="4"/>
      <c r="F103" s="4"/>
      <c r="G103" s="7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.75">
      <c r="A104" s="20" t="s">
        <v>10</v>
      </c>
      <c r="B104" s="21"/>
      <c r="C104" s="22">
        <f t="shared" ref="C104:C106" ca="1" si="76">_xlfn.BETA.INV(RAND(),G99+1,H99+1)</f>
        <v>0.64418640473324951</v>
      </c>
      <c r="D104" s="23" t="b">
        <f ca="1">AND(C104&gt;C105,C104&gt;C106)</f>
        <v>0</v>
      </c>
      <c r="E104" s="21" t="str">
        <f ca="1">IF(D104 = TRUE, IF(B103&lt;=$B$1, TRUE, FALSE), " ")</f>
        <v xml:space="preserve"> </v>
      </c>
      <c r="F104" s="21"/>
      <c r="G104" s="24">
        <f t="shared" ref="G104:G106" ca="1" si="77">IF(AND(D104 = TRUE,E104 = TRUE), G99+1,G99)</f>
        <v>0</v>
      </c>
      <c r="H104" s="24">
        <f t="shared" ref="H104:H106" ca="1" si="78">IF(AND(D104 = TRUE, E104 = FALSE), H99+1,H99)</f>
        <v>3</v>
      </c>
      <c r="I104" s="25">
        <f t="shared" ref="I104:I106" ca="1" si="79">SUM(G104:H104)</f>
        <v>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.75">
      <c r="A105" s="26" t="s">
        <v>11</v>
      </c>
      <c r="B105" s="4"/>
      <c r="C105" s="10">
        <f t="shared" ca="1" si="76"/>
        <v>0.82123578273903353</v>
      </c>
      <c r="D105" s="27" t="b">
        <f ca="1">AND(C105&gt;C104,C105&gt;C106)</f>
        <v>1</v>
      </c>
      <c r="E105" s="4" t="b">
        <f ca="1">IF(D105 = TRUE, IF(B103&lt;=$D$1, TRUE, FALSE), " ")</f>
        <v>1</v>
      </c>
      <c r="F105" s="4"/>
      <c r="G105" s="13">
        <f t="shared" ca="1" si="77"/>
        <v>12</v>
      </c>
      <c r="H105" s="13">
        <f t="shared" ca="1" si="78"/>
        <v>4</v>
      </c>
      <c r="I105" s="28">
        <f t="shared" ca="1" si="79"/>
        <v>16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3.5" thickBot="1">
      <c r="A106" s="29" t="s">
        <v>12</v>
      </c>
      <c r="B106" s="30"/>
      <c r="C106" s="31">
        <f t="shared" ca="1" si="76"/>
        <v>6.2701602046347791E-3</v>
      </c>
      <c r="D106" s="32" t="b">
        <f ca="1">AND(C106&gt;C104,C106&gt;C105)</f>
        <v>0</v>
      </c>
      <c r="E106" s="30" t="str">
        <f ca="1">IF(D106 = TRUE, IF(B103&lt;=$F$1, TRUE, FALSE), " ")</f>
        <v xml:space="preserve"> </v>
      </c>
      <c r="F106" s="30"/>
      <c r="G106" s="33">
        <f t="shared" ca="1" si="77"/>
        <v>0</v>
      </c>
      <c r="H106" s="33">
        <f t="shared" ca="1" si="78"/>
        <v>1</v>
      </c>
      <c r="I106" s="34">
        <f t="shared" ca="1" si="79"/>
        <v>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.75">
      <c r="A107" s="35"/>
      <c r="B107" s="4"/>
      <c r="C107" s="10"/>
      <c r="D107" s="4"/>
      <c r="E107" s="4"/>
      <c r="F107" s="4"/>
      <c r="G107" s="17"/>
      <c r="H107" s="1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3.5" thickBot="1">
      <c r="A108" s="35"/>
      <c r="B108" s="4">
        <f ca="1">RAND()</f>
        <v>0.15364780513792009</v>
      </c>
      <c r="C108" s="10"/>
      <c r="D108" s="4"/>
      <c r="E108" s="4"/>
      <c r="F108" s="4"/>
      <c r="G108" s="7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.75">
      <c r="A109" s="20" t="s">
        <v>10</v>
      </c>
      <c r="B109" s="21"/>
      <c r="C109" s="22">
        <f t="shared" ref="C109:C111" ca="1" si="80">_xlfn.BETA.INV(RAND(),G104+1,H104+1)</f>
        <v>0.18809782875567116</v>
      </c>
      <c r="D109" s="23" t="b">
        <f ca="1">AND(C109&gt;C110,C109&gt;C111)</f>
        <v>0</v>
      </c>
      <c r="E109" s="21" t="str">
        <f ca="1">IF(D109 = TRUE, IF(B108&lt;=$B$1, TRUE, FALSE), " ")</f>
        <v xml:space="preserve"> </v>
      </c>
      <c r="F109" s="21"/>
      <c r="G109" s="24">
        <f t="shared" ref="G109:G111" ca="1" si="81">IF(AND(D109 = TRUE,E109 = TRUE), G104+1,G104)</f>
        <v>0</v>
      </c>
      <c r="H109" s="24">
        <f t="shared" ref="H109:H111" ca="1" si="82">IF(AND(D109 = TRUE, E109 = FALSE), H104+1,H104)</f>
        <v>3</v>
      </c>
      <c r="I109" s="25">
        <f t="shared" ref="I109:I111" ca="1" si="83">SUM(G109:H109)</f>
        <v>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.75">
      <c r="A110" s="26" t="s">
        <v>11</v>
      </c>
      <c r="B110" s="4"/>
      <c r="C110" s="10">
        <f t="shared" ca="1" si="80"/>
        <v>0.81691504639840096</v>
      </c>
      <c r="D110" s="27" t="b">
        <f ca="1">AND(C110&gt;C109,C110&gt;C111)</f>
        <v>1</v>
      </c>
      <c r="E110" s="4" t="b">
        <f ca="1">IF(D110 = TRUE, IF(B108&lt;=$D$1, TRUE, FALSE), " ")</f>
        <v>1</v>
      </c>
      <c r="F110" s="4"/>
      <c r="G110" s="13">
        <f t="shared" ca="1" si="81"/>
        <v>13</v>
      </c>
      <c r="H110" s="13">
        <f t="shared" ca="1" si="82"/>
        <v>4</v>
      </c>
      <c r="I110" s="28">
        <f t="shared" ca="1" si="83"/>
        <v>17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3.5" thickBot="1">
      <c r="A111" s="29" t="s">
        <v>12</v>
      </c>
      <c r="B111" s="30"/>
      <c r="C111" s="31">
        <f t="shared" ca="1" si="80"/>
        <v>0.35640875091492108</v>
      </c>
      <c r="D111" s="32" t="b">
        <f ca="1">AND(C111&gt;C109,C111&gt;C110)</f>
        <v>0</v>
      </c>
      <c r="E111" s="30" t="str">
        <f ca="1">IF(D111 = TRUE, IF(B108&lt;=$F$1, TRUE, FALSE), " ")</f>
        <v xml:space="preserve"> </v>
      </c>
      <c r="F111" s="30"/>
      <c r="G111" s="33">
        <f t="shared" ca="1" si="81"/>
        <v>0</v>
      </c>
      <c r="H111" s="33">
        <f t="shared" ca="1" si="82"/>
        <v>1</v>
      </c>
      <c r="I111" s="34">
        <f t="shared" ca="1" si="83"/>
        <v>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.75">
      <c r="A112" s="4"/>
      <c r="B112" s="4"/>
      <c r="C112" s="10"/>
      <c r="D112" s="4"/>
      <c r="E112" s="4"/>
      <c r="F112" s="4"/>
      <c r="G112" s="7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3.5" thickBot="1">
      <c r="A113" s="4"/>
      <c r="B113" s="4">
        <f ca="1">RAND()</f>
        <v>0.76770699211497295</v>
      </c>
      <c r="C113" s="10"/>
      <c r="D113" s="4"/>
      <c r="E113" s="4"/>
      <c r="F113" s="4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.75">
      <c r="A114" s="20" t="s">
        <v>10</v>
      </c>
      <c r="B114" s="21"/>
      <c r="C114" s="22">
        <f t="shared" ref="C114:C116" ca="1" si="84">_xlfn.BETA.INV(RAND(),G109+1,H109+1)</f>
        <v>0.25378069200553444</v>
      </c>
      <c r="D114" s="23" t="b">
        <f ca="1">AND(C114&gt;C115,C114&gt;C116)</f>
        <v>0</v>
      </c>
      <c r="E114" s="21" t="str">
        <f ca="1">IF(D114 = TRUE, IF(B113&lt;=$B$1, TRUE, FALSE), " ")</f>
        <v xml:space="preserve"> </v>
      </c>
      <c r="F114" s="21"/>
      <c r="G114" s="24">
        <f t="shared" ref="G114:G116" ca="1" si="85">IF(AND(D114 = TRUE,E114 = TRUE), G109+1,G109)</f>
        <v>0</v>
      </c>
      <c r="H114" s="24">
        <f t="shared" ref="H114:H116" ca="1" si="86">IF(AND(D114 = TRUE, E114 = FALSE), H109+1,H109)</f>
        <v>3</v>
      </c>
      <c r="I114" s="25">
        <f t="shared" ref="I114:I116" ca="1" si="87">SUM(G114:H114)</f>
        <v>3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.75">
      <c r="A115" s="26" t="s">
        <v>11</v>
      </c>
      <c r="B115" s="4"/>
      <c r="C115" s="10">
        <f t="shared" ca="1" si="84"/>
        <v>0.78773723781383853</v>
      </c>
      <c r="D115" s="27" t="b">
        <f ca="1">AND(C115&gt;C114,C115&gt;C116)</f>
        <v>1</v>
      </c>
      <c r="E115" s="4" t="b">
        <f ca="1">IF(D115 = TRUE, IF(B113&lt;=$D$1, TRUE, FALSE), " ")</f>
        <v>1</v>
      </c>
      <c r="F115" s="4"/>
      <c r="G115" s="13">
        <f t="shared" ca="1" si="85"/>
        <v>14</v>
      </c>
      <c r="H115" s="13">
        <f t="shared" ca="1" si="86"/>
        <v>4</v>
      </c>
      <c r="I115" s="28">
        <f t="shared" ca="1" si="87"/>
        <v>18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3.5" thickBot="1">
      <c r="A116" s="29" t="s">
        <v>12</v>
      </c>
      <c r="B116" s="30"/>
      <c r="C116" s="31">
        <f t="shared" ca="1" si="84"/>
        <v>0.75854815241906515</v>
      </c>
      <c r="D116" s="32" t="b">
        <f ca="1">AND(C116&gt;C114,C116&gt;C115)</f>
        <v>0</v>
      </c>
      <c r="E116" s="30" t="str">
        <f ca="1">IF(D116 = TRUE, IF(B113&lt;=$F$1, TRUE, FALSE), " ")</f>
        <v xml:space="preserve"> </v>
      </c>
      <c r="F116" s="30"/>
      <c r="G116" s="33">
        <f t="shared" ca="1" si="85"/>
        <v>0</v>
      </c>
      <c r="H116" s="33">
        <f t="shared" ca="1" si="86"/>
        <v>1</v>
      </c>
      <c r="I116" s="34">
        <f t="shared" ca="1" si="87"/>
        <v>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.75">
      <c r="A117" s="35"/>
      <c r="B117" s="4"/>
      <c r="C117" s="10"/>
      <c r="D117" s="4"/>
      <c r="E117" s="4"/>
      <c r="F117" s="4"/>
      <c r="G117" s="17"/>
      <c r="H117" s="1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3.5" thickBot="1">
      <c r="A118" s="35"/>
      <c r="B118" s="4">
        <f ca="1">RAND()</f>
        <v>3.9998257924012237E-2</v>
      </c>
      <c r="C118" s="10"/>
      <c r="D118" s="4"/>
      <c r="E118" s="4"/>
      <c r="F118" s="4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.75">
      <c r="A119" s="20" t="s">
        <v>10</v>
      </c>
      <c r="B119" s="21"/>
      <c r="C119" s="22">
        <f t="shared" ref="C119:C121" ca="1" si="88">_xlfn.BETA.INV(RAND(),G114+1,H114+1)</f>
        <v>2.9792480381807426E-2</v>
      </c>
      <c r="D119" s="23" t="b">
        <f ca="1">AND(C119&gt;C120,C119&gt;C121)</f>
        <v>0</v>
      </c>
      <c r="E119" s="21" t="str">
        <f ca="1">IF(D119 = TRUE, IF(B118&lt;=$B$1, TRUE, FALSE), " ")</f>
        <v xml:space="preserve"> </v>
      </c>
      <c r="F119" s="21"/>
      <c r="G119" s="24">
        <f t="shared" ref="G119:G121" ca="1" si="89">IF(AND(D119 = TRUE,E119 = TRUE), G114+1,G114)</f>
        <v>0</v>
      </c>
      <c r="H119" s="24">
        <f t="shared" ref="H119:H121" ca="1" si="90">IF(AND(D119 = TRUE, E119 = FALSE), H114+1,H114)</f>
        <v>3</v>
      </c>
      <c r="I119" s="25">
        <f t="shared" ref="I119:I121" ca="1" si="91">SUM(G119:H119)</f>
        <v>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.75">
      <c r="A120" s="26" t="s">
        <v>11</v>
      </c>
      <c r="B120" s="4"/>
      <c r="C120" s="10">
        <f t="shared" ca="1" si="88"/>
        <v>0.71016467065094946</v>
      </c>
      <c r="D120" s="27" t="b">
        <f ca="1">AND(C120&gt;C119,C120&gt;C121)</f>
        <v>1</v>
      </c>
      <c r="E120" s="4" t="b">
        <f ca="1">IF(D120 = TRUE, IF(B118&lt;=$D$1, TRUE, FALSE), " ")</f>
        <v>1</v>
      </c>
      <c r="F120" s="4"/>
      <c r="G120" s="13">
        <f t="shared" ca="1" si="89"/>
        <v>15</v>
      </c>
      <c r="H120" s="13">
        <f t="shared" ca="1" si="90"/>
        <v>4</v>
      </c>
      <c r="I120" s="28">
        <f t="shared" ca="1" si="91"/>
        <v>19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3.5" thickBot="1">
      <c r="A121" s="29" t="s">
        <v>12</v>
      </c>
      <c r="B121" s="30"/>
      <c r="C121" s="31">
        <f t="shared" ca="1" si="88"/>
        <v>0.39573327900602639</v>
      </c>
      <c r="D121" s="32" t="b">
        <f ca="1">AND(C121&gt;C119,C121&gt;C120)</f>
        <v>0</v>
      </c>
      <c r="E121" s="30" t="str">
        <f ca="1">IF(D121 = TRUE, IF(B118&lt;=$F$1, TRUE, FALSE), " ")</f>
        <v xml:space="preserve"> </v>
      </c>
      <c r="F121" s="30"/>
      <c r="G121" s="33">
        <f t="shared" ca="1" si="89"/>
        <v>0</v>
      </c>
      <c r="H121" s="33">
        <f t="shared" ca="1" si="90"/>
        <v>1</v>
      </c>
      <c r="I121" s="34">
        <f t="shared" ca="1" si="91"/>
        <v>1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.75">
      <c r="A122" s="35"/>
      <c r="B122" s="4"/>
      <c r="C122" s="10"/>
      <c r="D122" s="4"/>
      <c r="E122" s="4"/>
      <c r="F122" s="4"/>
      <c r="G122" s="7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3.5" thickBot="1">
      <c r="A123" s="35"/>
      <c r="B123" s="4">
        <f ca="1">RAND()</f>
        <v>0.76686978356920998</v>
      </c>
      <c r="C123" s="10"/>
      <c r="D123" s="4"/>
      <c r="E123" s="4"/>
      <c r="F123" s="4"/>
      <c r="G123" s="7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.75">
      <c r="A124" s="20" t="s">
        <v>10</v>
      </c>
      <c r="B124" s="21"/>
      <c r="C124" s="22">
        <f t="shared" ref="C124:C126" ca="1" si="92">_xlfn.BETA.INV(RAND(),G119+1,H119+1)</f>
        <v>0.22307559751840544</v>
      </c>
      <c r="D124" s="23" t="b">
        <f ca="1">AND(C124&gt;C125,C124&gt;C126)</f>
        <v>0</v>
      </c>
      <c r="E124" s="21" t="str">
        <f ca="1">IF(D124 = TRUE, IF(B123&lt;=$B$1, TRUE, FALSE), " ")</f>
        <v xml:space="preserve"> </v>
      </c>
      <c r="F124" s="21"/>
      <c r="G124" s="24">
        <f t="shared" ref="G124:G126" ca="1" si="93">IF(AND(D124 = TRUE,E124 = TRUE), G119+1,G119)</f>
        <v>0</v>
      </c>
      <c r="H124" s="24">
        <f t="shared" ref="H124:H126" ca="1" si="94">IF(AND(D124 = TRUE, E124 = FALSE), H119+1,H119)</f>
        <v>3</v>
      </c>
      <c r="I124" s="25">
        <f t="shared" ref="I124:I126" ca="1" si="95">SUM(G124:H124)</f>
        <v>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.75">
      <c r="A125" s="26" t="s">
        <v>11</v>
      </c>
      <c r="B125" s="4"/>
      <c r="C125" s="10">
        <f t="shared" ca="1" si="92"/>
        <v>0.68769848148818424</v>
      </c>
      <c r="D125" s="27" t="b">
        <f ca="1">AND(C125&gt;C124,C125&gt;C126)</f>
        <v>0</v>
      </c>
      <c r="E125" s="4" t="str">
        <f ca="1">IF(D125 = TRUE, IF(B123&lt;=$D$1, TRUE, FALSE), " ")</f>
        <v xml:space="preserve"> </v>
      </c>
      <c r="F125" s="4"/>
      <c r="G125" s="13">
        <f t="shared" ca="1" si="93"/>
        <v>15</v>
      </c>
      <c r="H125" s="13">
        <f t="shared" ca="1" si="94"/>
        <v>4</v>
      </c>
      <c r="I125" s="28">
        <f t="shared" ca="1" si="95"/>
        <v>19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3.5" thickBot="1">
      <c r="A126" s="29" t="s">
        <v>12</v>
      </c>
      <c r="B126" s="30"/>
      <c r="C126" s="31">
        <f t="shared" ca="1" si="92"/>
        <v>0.82430069110526927</v>
      </c>
      <c r="D126" s="32" t="b">
        <f ca="1">AND(C126&gt;C124,C126&gt;C125)</f>
        <v>1</v>
      </c>
      <c r="E126" s="30" t="b">
        <f ca="1">IF(D126 = TRUE, IF(B123&lt;=$F$1, TRUE, FALSE), " ")</f>
        <v>0</v>
      </c>
      <c r="F126" s="30"/>
      <c r="G126" s="33">
        <f t="shared" ca="1" si="93"/>
        <v>0</v>
      </c>
      <c r="H126" s="33">
        <f t="shared" ca="1" si="94"/>
        <v>2</v>
      </c>
      <c r="I126" s="34">
        <f t="shared" ca="1" si="95"/>
        <v>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.75">
      <c r="A127" s="4"/>
      <c r="B127" s="4"/>
      <c r="C127" s="10"/>
      <c r="D127" s="4"/>
      <c r="E127" s="4"/>
      <c r="F127" s="4"/>
      <c r="G127" s="17"/>
      <c r="H127" s="1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3.5" thickBot="1">
      <c r="A128" s="4"/>
      <c r="B128" s="4">
        <f ca="1">RAND()</f>
        <v>5.3208760258038112E-2</v>
      </c>
      <c r="C128" s="10"/>
      <c r="D128" s="4"/>
      <c r="E128" s="4"/>
      <c r="F128" s="4"/>
      <c r="G128" s="7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.75">
      <c r="A129" s="20" t="s">
        <v>10</v>
      </c>
      <c r="B129" s="21"/>
      <c r="C129" s="22">
        <f t="shared" ref="C129:C131" ca="1" si="96">_xlfn.BETA.INV(RAND(),G124+1,H124+1)</f>
        <v>0.38623209014764248</v>
      </c>
      <c r="D129" s="23" t="b">
        <f ca="1">AND(C129&gt;C130,C129&gt;C131)</f>
        <v>0</v>
      </c>
      <c r="E129" s="21" t="str">
        <f ca="1">IF(D129 = TRUE, IF(B128&lt;=$B$1, TRUE, FALSE), " ")</f>
        <v xml:space="preserve"> </v>
      </c>
      <c r="F129" s="21"/>
      <c r="G129" s="24">
        <f t="shared" ref="G129:G131" ca="1" si="97">IF(AND(D129 = TRUE,E129 = TRUE), G124+1,G124)</f>
        <v>0</v>
      </c>
      <c r="H129" s="24">
        <f t="shared" ref="H129:H131" ca="1" si="98">IF(AND(D129 = TRUE, E129 = FALSE), H124+1,H124)</f>
        <v>3</v>
      </c>
      <c r="I129" s="25">
        <f t="shared" ref="I129:I131" ca="1" si="99">SUM(G129:H129)</f>
        <v>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.75">
      <c r="A130" s="26" t="s">
        <v>11</v>
      </c>
      <c r="B130" s="4"/>
      <c r="C130" s="10">
        <f t="shared" ca="1" si="96"/>
        <v>0.70787222527417237</v>
      </c>
      <c r="D130" s="27" t="b">
        <f ca="1">AND(C130&gt;C129,C130&gt;C131)</f>
        <v>1</v>
      </c>
      <c r="E130" s="4" t="b">
        <f ca="1">IF(D130 = TRUE, IF(B128&lt;=$D$1, TRUE, FALSE), " ")</f>
        <v>1</v>
      </c>
      <c r="F130" s="4"/>
      <c r="G130" s="13">
        <f t="shared" ca="1" si="97"/>
        <v>16</v>
      </c>
      <c r="H130" s="13">
        <f t="shared" ca="1" si="98"/>
        <v>4</v>
      </c>
      <c r="I130" s="28">
        <f t="shared" ca="1" si="99"/>
        <v>20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3.5" thickBot="1">
      <c r="A131" s="29" t="s">
        <v>12</v>
      </c>
      <c r="B131" s="30"/>
      <c r="C131" s="31">
        <f t="shared" ca="1" si="96"/>
        <v>0.25809735834707814</v>
      </c>
      <c r="D131" s="32" t="b">
        <f ca="1">AND(C131&gt;C129,C131&gt;C130)</f>
        <v>0</v>
      </c>
      <c r="E131" s="30" t="str">
        <f ca="1">IF(D131 = TRUE, IF(B128&lt;=$F$1, TRUE, FALSE), " ")</f>
        <v xml:space="preserve"> </v>
      </c>
      <c r="F131" s="30"/>
      <c r="G131" s="33">
        <f t="shared" ca="1" si="97"/>
        <v>0</v>
      </c>
      <c r="H131" s="33">
        <f t="shared" ca="1" si="98"/>
        <v>2</v>
      </c>
      <c r="I131" s="34">
        <f t="shared" ca="1" si="99"/>
        <v>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.75">
      <c r="A132" s="35"/>
      <c r="B132" s="4"/>
      <c r="C132" s="10"/>
      <c r="D132" s="4"/>
      <c r="E132" s="4"/>
      <c r="F132" s="4"/>
      <c r="G132" s="7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3.5" thickBot="1">
      <c r="A133" s="35"/>
      <c r="B133" s="4">
        <f ca="1">RAND()</f>
        <v>0.15561817001869649</v>
      </c>
      <c r="C133" s="10"/>
      <c r="D133" s="4"/>
      <c r="E133" s="4"/>
      <c r="F133" s="4"/>
      <c r="G133" s="7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.75">
      <c r="A134" s="20" t="s">
        <v>10</v>
      </c>
      <c r="B134" s="21"/>
      <c r="C134" s="22">
        <f t="shared" ref="C134:C136" ca="1" si="100">_xlfn.BETA.INV(RAND(),G129+1,H129+1)</f>
        <v>0.1477438409643291</v>
      </c>
      <c r="D134" s="23" t="b">
        <f ca="1">AND(C134&gt;C135,C134&gt;C136)</f>
        <v>0</v>
      </c>
      <c r="E134" s="21" t="str">
        <f ca="1">IF(D134 = TRUE, IF(B133&lt;=$B$1, TRUE, FALSE), " ")</f>
        <v xml:space="preserve"> </v>
      </c>
      <c r="F134" s="21"/>
      <c r="G134" s="24">
        <f t="shared" ref="G134:G136" ca="1" si="101">IF(AND(D134 = TRUE,E134 = TRUE), G129+1,G129)</f>
        <v>0</v>
      </c>
      <c r="H134" s="24">
        <f t="shared" ref="H134:H136" ca="1" si="102">IF(AND(D134 = TRUE, E134 = FALSE), H129+1,H129)</f>
        <v>3</v>
      </c>
      <c r="I134" s="25">
        <f t="shared" ref="I134:I136" ca="1" si="103">SUM(G134:H134)</f>
        <v>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.75">
      <c r="A135" s="26" t="s">
        <v>11</v>
      </c>
      <c r="B135" s="4"/>
      <c r="C135" s="10">
        <f t="shared" ca="1" si="100"/>
        <v>0.7788331087424063</v>
      </c>
      <c r="D135" s="27" t="b">
        <f ca="1">AND(C135&gt;C134,C135&gt;C136)</f>
        <v>1</v>
      </c>
      <c r="E135" s="4" t="b">
        <f ca="1">IF(D135 = TRUE, IF(B133&lt;=$D$1, TRUE, FALSE), " ")</f>
        <v>1</v>
      </c>
      <c r="F135" s="4"/>
      <c r="G135" s="13">
        <f t="shared" ca="1" si="101"/>
        <v>17</v>
      </c>
      <c r="H135" s="13">
        <f t="shared" ca="1" si="102"/>
        <v>4</v>
      </c>
      <c r="I135" s="28">
        <f t="shared" ca="1" si="103"/>
        <v>21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3.5" thickBot="1">
      <c r="A136" s="29" t="s">
        <v>12</v>
      </c>
      <c r="B136" s="30"/>
      <c r="C136" s="31">
        <f t="shared" ca="1" si="100"/>
        <v>0.32754485578047465</v>
      </c>
      <c r="D136" s="32" t="b">
        <f ca="1">AND(C136&gt;C134,C136&gt;C135)</f>
        <v>0</v>
      </c>
      <c r="E136" s="30" t="str">
        <f ca="1">IF(D136 = TRUE, IF(B133&lt;=$F$1, TRUE, FALSE), " ")</f>
        <v xml:space="preserve"> </v>
      </c>
      <c r="F136" s="30"/>
      <c r="G136" s="33">
        <f t="shared" ca="1" si="101"/>
        <v>0</v>
      </c>
      <c r="H136" s="33">
        <f t="shared" ca="1" si="102"/>
        <v>2</v>
      </c>
      <c r="I136" s="34">
        <f t="shared" ca="1" si="103"/>
        <v>2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.75">
      <c r="A137" s="35"/>
      <c r="B137" s="4"/>
      <c r="C137" s="10"/>
      <c r="D137" s="4"/>
      <c r="E137" s="4"/>
      <c r="F137" s="4"/>
      <c r="G137" s="17"/>
      <c r="H137" s="1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3.5" thickBot="1">
      <c r="A138" s="35"/>
      <c r="B138" s="4">
        <f ca="1">RAND()</f>
        <v>0.1943143558846181</v>
      </c>
      <c r="C138" s="10"/>
      <c r="D138" s="4"/>
      <c r="E138" s="4"/>
      <c r="F138" s="4"/>
      <c r="G138" s="7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.75">
      <c r="A139" s="20" t="s">
        <v>10</v>
      </c>
      <c r="B139" s="21"/>
      <c r="C139" s="22">
        <f t="shared" ref="C139:C141" ca="1" si="104">_xlfn.BETA.INV(RAND(),G134+1,H134+1)</f>
        <v>3.018332280799562E-2</v>
      </c>
      <c r="D139" s="23" t="b">
        <f ca="1">AND(C139&gt;C140,C139&gt;C141)</f>
        <v>0</v>
      </c>
      <c r="E139" s="21" t="str">
        <f ca="1">IF(D139 = TRUE, IF(B138&lt;=$B$1, TRUE, FALSE), " ")</f>
        <v xml:space="preserve"> </v>
      </c>
      <c r="F139" s="21"/>
      <c r="G139" s="24">
        <f t="shared" ref="G139:G141" ca="1" si="105">IF(AND(D139 = TRUE,E139 = TRUE), G134+1,G134)</f>
        <v>0</v>
      </c>
      <c r="H139" s="24">
        <f t="shared" ref="H139:H141" ca="1" si="106">IF(AND(D139 = TRUE, E139 = FALSE), H134+1,H134)</f>
        <v>3</v>
      </c>
      <c r="I139" s="25">
        <f t="shared" ref="I139:I141" ca="1" si="107">SUM(G139:H139)</f>
        <v>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.75">
      <c r="A140" s="26" t="s">
        <v>11</v>
      </c>
      <c r="B140" s="4"/>
      <c r="C140" s="10">
        <f t="shared" ca="1" si="104"/>
        <v>0.74840629471814524</v>
      </c>
      <c r="D140" s="27" t="b">
        <f ca="1">AND(C140&gt;C139,C140&gt;C141)</f>
        <v>1</v>
      </c>
      <c r="E140" s="4" t="b">
        <f ca="1">IF(D140 = TRUE, IF(B138&lt;=$D$1, TRUE, FALSE), " ")</f>
        <v>1</v>
      </c>
      <c r="F140" s="4"/>
      <c r="G140" s="13">
        <f t="shared" ca="1" si="105"/>
        <v>18</v>
      </c>
      <c r="H140" s="13">
        <f t="shared" ca="1" si="106"/>
        <v>4</v>
      </c>
      <c r="I140" s="28">
        <f t="shared" ca="1" si="107"/>
        <v>22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3.5" thickBot="1">
      <c r="A141" s="29" t="s">
        <v>12</v>
      </c>
      <c r="B141" s="30"/>
      <c r="C141" s="31">
        <f t="shared" ca="1" si="104"/>
        <v>0.27591905657806548</v>
      </c>
      <c r="D141" s="32" t="b">
        <f ca="1">AND(C141&gt;C139,C141&gt;C140)</f>
        <v>0</v>
      </c>
      <c r="E141" s="30" t="str">
        <f ca="1">IF(D141 = TRUE, IF(B138&lt;=$F$1, TRUE, FALSE), " ")</f>
        <v xml:space="preserve"> </v>
      </c>
      <c r="F141" s="30"/>
      <c r="G141" s="33">
        <f t="shared" ca="1" si="105"/>
        <v>0</v>
      </c>
      <c r="H141" s="33">
        <f t="shared" ca="1" si="106"/>
        <v>2</v>
      </c>
      <c r="I141" s="34">
        <f t="shared" ca="1" si="107"/>
        <v>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.75">
      <c r="A142" s="4"/>
      <c r="B142" s="4"/>
      <c r="C142" s="10"/>
      <c r="D142" s="4"/>
      <c r="E142" s="4"/>
      <c r="F142" s="4"/>
      <c r="G142" s="7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3.5" thickBot="1">
      <c r="A143" s="4"/>
      <c r="B143" s="4">
        <f ca="1">RAND()</f>
        <v>0.41064163305513557</v>
      </c>
      <c r="C143" s="10"/>
      <c r="D143" s="4"/>
      <c r="E143" s="4"/>
      <c r="F143" s="4"/>
      <c r="G143" s="7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.75">
      <c r="A144" s="20" t="s">
        <v>10</v>
      </c>
      <c r="B144" s="21"/>
      <c r="C144" s="22">
        <f t="shared" ref="C144:C146" ca="1" si="108">_xlfn.BETA.INV(RAND(),G139+1,H139+1)</f>
        <v>0.1047569418236093</v>
      </c>
      <c r="D144" s="23" t="b">
        <f ca="1">AND(C144&gt;C145,C144&gt;C146)</f>
        <v>0</v>
      </c>
      <c r="E144" s="21" t="str">
        <f ca="1">IF(D144 = TRUE, IF(B143&lt;=$B$1, TRUE, FALSE), " ")</f>
        <v xml:space="preserve"> </v>
      </c>
      <c r="F144" s="21"/>
      <c r="G144" s="24">
        <f t="shared" ref="G144:G146" ca="1" si="109">IF(AND(D144 = TRUE,E144 = TRUE), G139+1,G139)</f>
        <v>0</v>
      </c>
      <c r="H144" s="24">
        <f t="shared" ref="H144:H146" ca="1" si="110">IF(AND(D144 = TRUE, E144 = FALSE), H139+1,H139)</f>
        <v>3</v>
      </c>
      <c r="I144" s="25">
        <f t="shared" ref="I144:I146" ca="1" si="111">SUM(G144:H144)</f>
        <v>3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.75">
      <c r="A145" s="26" t="s">
        <v>11</v>
      </c>
      <c r="B145" s="4"/>
      <c r="C145" s="10">
        <f t="shared" ca="1" si="108"/>
        <v>0.82506337583036848</v>
      </c>
      <c r="D145" s="27" t="b">
        <f ca="1">AND(C145&gt;C144,C145&gt;C146)</f>
        <v>1</v>
      </c>
      <c r="E145" s="4" t="b">
        <f ca="1">IF(D145 = TRUE, IF(B143&lt;=$D$1, TRUE, FALSE), " ")</f>
        <v>1</v>
      </c>
      <c r="F145" s="4"/>
      <c r="G145" s="13">
        <f t="shared" ca="1" si="109"/>
        <v>19</v>
      </c>
      <c r="H145" s="13">
        <f t="shared" ca="1" si="110"/>
        <v>4</v>
      </c>
      <c r="I145" s="28">
        <f t="shared" ca="1" si="111"/>
        <v>23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3.5" thickBot="1">
      <c r="A146" s="29" t="s">
        <v>12</v>
      </c>
      <c r="B146" s="30"/>
      <c r="C146" s="31">
        <f t="shared" ca="1" si="108"/>
        <v>0.37011960750909711</v>
      </c>
      <c r="D146" s="32" t="b">
        <f ca="1">AND(C146&gt;C144,C146&gt;C145)</f>
        <v>0</v>
      </c>
      <c r="E146" s="30" t="str">
        <f ca="1">IF(D146 = TRUE, IF(B143&lt;=$F$1, TRUE, FALSE), " ")</f>
        <v xml:space="preserve"> </v>
      </c>
      <c r="F146" s="30"/>
      <c r="G146" s="33">
        <f t="shared" ca="1" si="109"/>
        <v>0</v>
      </c>
      <c r="H146" s="33">
        <f t="shared" ca="1" si="110"/>
        <v>2</v>
      </c>
      <c r="I146" s="34">
        <f t="shared" ca="1" si="111"/>
        <v>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.75">
      <c r="A147" s="35"/>
      <c r="B147" s="4"/>
      <c r="C147" s="10"/>
      <c r="D147" s="4"/>
      <c r="E147" s="4"/>
      <c r="F147" s="4"/>
      <c r="G147" s="17"/>
      <c r="H147" s="1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3.5" thickBot="1">
      <c r="A148" s="35"/>
      <c r="B148" s="4">
        <f ca="1">RAND()</f>
        <v>0.61815742938265827</v>
      </c>
      <c r="C148" s="10"/>
      <c r="D148" s="4"/>
      <c r="E148" s="4"/>
      <c r="F148" s="4"/>
      <c r="G148" s="7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.75">
      <c r="A149" s="20" t="s">
        <v>10</v>
      </c>
      <c r="B149" s="21"/>
      <c r="C149" s="22">
        <f t="shared" ref="C149:C151" ca="1" si="112">_xlfn.BETA.INV(RAND(),G144+1,H144+1)</f>
        <v>0.26180214692037773</v>
      </c>
      <c r="D149" s="23" t="b">
        <f ca="1">AND(C149&gt;C150,C149&gt;C151)</f>
        <v>0</v>
      </c>
      <c r="E149" s="21" t="str">
        <f ca="1">IF(D149 = TRUE, IF(B148&lt;=$B$1, TRUE, FALSE), " ")</f>
        <v xml:space="preserve"> </v>
      </c>
      <c r="F149" s="21"/>
      <c r="G149" s="24">
        <f t="shared" ref="G149:G151" ca="1" si="113">IF(AND(D149 = TRUE,E149 = TRUE), G144+1,G144)</f>
        <v>0</v>
      </c>
      <c r="H149" s="24">
        <f t="shared" ref="H149:H151" ca="1" si="114">IF(AND(D149 = TRUE, E149 = FALSE), H144+1,H144)</f>
        <v>3</v>
      </c>
      <c r="I149" s="25">
        <f t="shared" ref="I149:I151" ca="1" si="115">SUM(G149:H149)</f>
        <v>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.75">
      <c r="A150" s="26" t="s">
        <v>11</v>
      </c>
      <c r="B150" s="4"/>
      <c r="C150" s="10">
        <f t="shared" ca="1" si="112"/>
        <v>0.80516370237943602</v>
      </c>
      <c r="D150" s="27" t="b">
        <f ca="1">AND(C150&gt;C149,C150&gt;C151)</f>
        <v>1</v>
      </c>
      <c r="E150" s="4" t="b">
        <f ca="1">IF(D150 = TRUE, IF(B148&lt;=$D$1, TRUE, FALSE), " ")</f>
        <v>1</v>
      </c>
      <c r="F150" s="4"/>
      <c r="G150" s="13">
        <f t="shared" ca="1" si="113"/>
        <v>20</v>
      </c>
      <c r="H150" s="13">
        <f t="shared" ca="1" si="114"/>
        <v>4</v>
      </c>
      <c r="I150" s="28">
        <f t="shared" ca="1" si="115"/>
        <v>24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3.5" thickBot="1">
      <c r="A151" s="29" t="s">
        <v>12</v>
      </c>
      <c r="B151" s="30"/>
      <c r="C151" s="31">
        <f t="shared" ca="1" si="112"/>
        <v>0.50504197712611809</v>
      </c>
      <c r="D151" s="32" t="b">
        <f ca="1">AND(C151&gt;C149,C151&gt;C150)</f>
        <v>0</v>
      </c>
      <c r="E151" s="30" t="str">
        <f ca="1">IF(D151 = TRUE, IF(B148&lt;=$F$1, TRUE, FALSE), " ")</f>
        <v xml:space="preserve"> </v>
      </c>
      <c r="F151" s="30"/>
      <c r="G151" s="33">
        <f t="shared" ca="1" si="113"/>
        <v>0</v>
      </c>
      <c r="H151" s="33">
        <f t="shared" ca="1" si="114"/>
        <v>2</v>
      </c>
      <c r="I151" s="34">
        <f t="shared" ca="1" si="115"/>
        <v>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.75">
      <c r="A152" s="35"/>
      <c r="B152" s="4"/>
      <c r="C152" s="10"/>
      <c r="D152" s="4"/>
      <c r="E152" s="4"/>
      <c r="F152" s="4"/>
      <c r="G152" s="7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3.5" thickBot="1">
      <c r="A153" s="35"/>
      <c r="B153" s="4">
        <f ca="1">RAND()</f>
        <v>0.42114572325146371</v>
      </c>
      <c r="C153" s="10"/>
      <c r="D153" s="4"/>
      <c r="E153" s="4"/>
      <c r="F153" s="4"/>
      <c r="G153" s="7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.75">
      <c r="A154" s="20" t="s">
        <v>10</v>
      </c>
      <c r="B154" s="21"/>
      <c r="C154" s="22">
        <f t="shared" ref="C154:C156" ca="1" si="116">_xlfn.BETA.INV(RAND(),G149+1,H149+1)</f>
        <v>0.11577108181637483</v>
      </c>
      <c r="D154" s="23" t="b">
        <f ca="1">AND(C154&gt;C155,C154&gt;C156)</f>
        <v>0</v>
      </c>
      <c r="E154" s="21" t="str">
        <f ca="1">IF(D154 = TRUE, IF(B153&lt;=$B$1, TRUE, FALSE), " ")</f>
        <v xml:space="preserve"> </v>
      </c>
      <c r="F154" s="21"/>
      <c r="G154" s="24">
        <f t="shared" ref="G154:G156" ca="1" si="117">IF(AND(D154 = TRUE,E154 = TRUE), G149+1,G149)</f>
        <v>0</v>
      </c>
      <c r="H154" s="24">
        <f t="shared" ref="H154:H156" ca="1" si="118">IF(AND(D154 = TRUE, E154 = FALSE), H149+1,H149)</f>
        <v>3</v>
      </c>
      <c r="I154" s="25">
        <f t="shared" ref="I154:I156" ca="1" si="119">SUM(G154:H154)</f>
        <v>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.75">
      <c r="A155" s="26" t="s">
        <v>11</v>
      </c>
      <c r="B155" s="4"/>
      <c r="C155" s="10">
        <f t="shared" ca="1" si="116"/>
        <v>0.83798327219794877</v>
      </c>
      <c r="D155" s="27" t="b">
        <f ca="1">AND(C155&gt;C154,C155&gt;C156)</f>
        <v>1</v>
      </c>
      <c r="E155" s="4" t="b">
        <f ca="1">IF(D155 = TRUE, IF(B153&lt;=$D$1, TRUE, FALSE), " ")</f>
        <v>1</v>
      </c>
      <c r="F155" s="4"/>
      <c r="G155" s="13">
        <f t="shared" ca="1" si="117"/>
        <v>21</v>
      </c>
      <c r="H155" s="13">
        <f t="shared" ca="1" si="118"/>
        <v>4</v>
      </c>
      <c r="I155" s="28">
        <f t="shared" ca="1" si="119"/>
        <v>25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3.5" thickBot="1">
      <c r="A156" s="29" t="s">
        <v>12</v>
      </c>
      <c r="B156" s="30"/>
      <c r="C156" s="31">
        <f t="shared" ca="1" si="116"/>
        <v>0.56522143306943007</v>
      </c>
      <c r="D156" s="32" t="b">
        <f ca="1">AND(C156&gt;C154,C156&gt;C155)</f>
        <v>0</v>
      </c>
      <c r="E156" s="30" t="str">
        <f ca="1">IF(D156 = TRUE, IF(B153&lt;=$F$1, TRUE, FALSE), " ")</f>
        <v xml:space="preserve"> </v>
      </c>
      <c r="F156" s="30"/>
      <c r="G156" s="33">
        <f t="shared" ca="1" si="117"/>
        <v>0</v>
      </c>
      <c r="H156" s="33">
        <f t="shared" ca="1" si="118"/>
        <v>2</v>
      </c>
      <c r="I156" s="34">
        <f t="shared" ca="1" si="119"/>
        <v>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.75">
      <c r="A157" s="4"/>
      <c r="B157" s="4"/>
      <c r="C157" s="10"/>
      <c r="D157" s="4"/>
      <c r="E157" s="4"/>
      <c r="F157" s="4"/>
      <c r="G157" s="17"/>
      <c r="H157" s="1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3.5" thickBot="1">
      <c r="A158" s="4"/>
      <c r="B158" s="4">
        <f ca="1">RAND()</f>
        <v>0.29889345008751134</v>
      </c>
      <c r="C158" s="10"/>
      <c r="D158" s="4"/>
      <c r="E158" s="4"/>
      <c r="F158" s="4"/>
      <c r="G158" s="7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.75">
      <c r="A159" s="20" t="s">
        <v>10</v>
      </c>
      <c r="B159" s="21"/>
      <c r="C159" s="22">
        <f t="shared" ref="C159:C161" ca="1" si="120">_xlfn.BETA.INV(RAND(),G154+1,H154+1)</f>
        <v>0.20038179809479106</v>
      </c>
      <c r="D159" s="23" t="b">
        <f ca="1">AND(C159&gt;C160,C159&gt;C161)</f>
        <v>0</v>
      </c>
      <c r="E159" s="21" t="str">
        <f ca="1">IF(D159 = TRUE, IF(B158&lt;=$B$1, TRUE, FALSE), " ")</f>
        <v xml:space="preserve"> </v>
      </c>
      <c r="F159" s="21"/>
      <c r="G159" s="24">
        <f t="shared" ref="G159:G161" ca="1" si="121">IF(AND(D159 = TRUE,E159 = TRUE), G154+1,G154)</f>
        <v>0</v>
      </c>
      <c r="H159" s="24">
        <f t="shared" ref="H159:H161" ca="1" si="122">IF(AND(D159 = TRUE, E159 = FALSE), H154+1,H154)</f>
        <v>3</v>
      </c>
      <c r="I159" s="25">
        <f t="shared" ref="I159:I161" ca="1" si="123">SUM(G159:H159)</f>
        <v>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.75">
      <c r="A160" s="26" t="s">
        <v>11</v>
      </c>
      <c r="B160" s="4"/>
      <c r="C160" s="10">
        <f t="shared" ca="1" si="120"/>
        <v>0.87049137134567189</v>
      </c>
      <c r="D160" s="27" t="b">
        <f ca="1">AND(C160&gt;C159,C160&gt;C161)</f>
        <v>1</v>
      </c>
      <c r="E160" s="4" t="b">
        <f ca="1">IF(D160 = TRUE, IF(B158&lt;=$D$1, TRUE, FALSE), " ")</f>
        <v>1</v>
      </c>
      <c r="F160" s="4"/>
      <c r="G160" s="13">
        <f t="shared" ca="1" si="121"/>
        <v>22</v>
      </c>
      <c r="H160" s="13">
        <f t="shared" ca="1" si="122"/>
        <v>4</v>
      </c>
      <c r="I160" s="28">
        <f t="shared" ca="1" si="123"/>
        <v>26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3.5" thickBot="1">
      <c r="A161" s="29" t="s">
        <v>12</v>
      </c>
      <c r="B161" s="30"/>
      <c r="C161" s="31">
        <f t="shared" ca="1" si="120"/>
        <v>0.12269966271755638</v>
      </c>
      <c r="D161" s="32" t="b">
        <f ca="1">AND(C161&gt;C159,C161&gt;C160)</f>
        <v>0</v>
      </c>
      <c r="E161" s="30" t="str">
        <f ca="1">IF(D161 = TRUE, IF(B158&lt;=$F$1, TRUE, FALSE), " ")</f>
        <v xml:space="preserve"> </v>
      </c>
      <c r="F161" s="30"/>
      <c r="G161" s="33">
        <f t="shared" ca="1" si="121"/>
        <v>0</v>
      </c>
      <c r="H161" s="33">
        <f t="shared" ca="1" si="122"/>
        <v>2</v>
      </c>
      <c r="I161" s="34">
        <f t="shared" ca="1" si="123"/>
        <v>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.75">
      <c r="A162" s="35"/>
      <c r="B162" s="4"/>
      <c r="C162" s="10"/>
      <c r="D162" s="4"/>
      <c r="E162" s="4"/>
      <c r="F162" s="4"/>
      <c r="G162" s="7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3.5" thickBot="1">
      <c r="A163" s="35"/>
      <c r="B163" s="4">
        <f ca="1">RAND()</f>
        <v>0.4774437865917921</v>
      </c>
      <c r="C163" s="10"/>
      <c r="D163" s="4"/>
      <c r="E163" s="4"/>
      <c r="F163" s="4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.75">
      <c r="A164" s="20" t="s">
        <v>10</v>
      </c>
      <c r="B164" s="21"/>
      <c r="C164" s="22">
        <f t="shared" ref="C164:C166" ca="1" si="124">_xlfn.BETA.INV(RAND(),G159+1,H159+1)</f>
        <v>0.44888732844994128</v>
      </c>
      <c r="D164" s="23" t="b">
        <f ca="1">AND(C164&gt;C165,C164&gt;C166)</f>
        <v>0</v>
      </c>
      <c r="E164" s="21" t="str">
        <f ca="1">IF(D164 = TRUE, IF(B163&lt;=$B$1, TRUE, FALSE), " ")</f>
        <v xml:space="preserve"> </v>
      </c>
      <c r="F164" s="21"/>
      <c r="G164" s="24">
        <f t="shared" ref="G164:G166" ca="1" si="125">IF(AND(D164 = TRUE,E164 = TRUE), G159+1,G159)</f>
        <v>0</v>
      </c>
      <c r="H164" s="24">
        <f t="shared" ref="H164:H166" ca="1" si="126">IF(AND(D164 = TRUE, E164 = FALSE), H159+1,H159)</f>
        <v>3</v>
      </c>
      <c r="I164" s="25">
        <f t="shared" ref="I164:I166" ca="1" si="127">SUM(G164:H164)</f>
        <v>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.75">
      <c r="A165" s="26" t="s">
        <v>11</v>
      </c>
      <c r="B165" s="4"/>
      <c r="C165" s="10">
        <f t="shared" ca="1" si="124"/>
        <v>0.84277866741144269</v>
      </c>
      <c r="D165" s="27" t="b">
        <f ca="1">AND(C165&gt;C164,C165&gt;C166)</f>
        <v>1</v>
      </c>
      <c r="E165" s="4" t="b">
        <f ca="1">IF(D165 = TRUE, IF(B163&lt;=$D$1, TRUE, FALSE), " ")</f>
        <v>1</v>
      </c>
      <c r="F165" s="4"/>
      <c r="G165" s="13">
        <f t="shared" ca="1" si="125"/>
        <v>23</v>
      </c>
      <c r="H165" s="13">
        <f t="shared" ca="1" si="126"/>
        <v>4</v>
      </c>
      <c r="I165" s="28">
        <f t="shared" ca="1" si="127"/>
        <v>27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3.5" thickBot="1">
      <c r="A166" s="29" t="s">
        <v>12</v>
      </c>
      <c r="B166" s="30"/>
      <c r="C166" s="31">
        <f t="shared" ca="1" si="124"/>
        <v>0.49767097370788349</v>
      </c>
      <c r="D166" s="32" t="b">
        <f ca="1">AND(C166&gt;C164,C166&gt;C165)</f>
        <v>0</v>
      </c>
      <c r="E166" s="30" t="str">
        <f ca="1">IF(D166 = TRUE, IF(B163&lt;=$F$1, TRUE, FALSE), " ")</f>
        <v xml:space="preserve"> </v>
      </c>
      <c r="F166" s="30"/>
      <c r="G166" s="33">
        <f t="shared" ca="1" si="125"/>
        <v>0</v>
      </c>
      <c r="H166" s="33">
        <f t="shared" ca="1" si="126"/>
        <v>2</v>
      </c>
      <c r="I166" s="34">
        <f t="shared" ca="1" si="127"/>
        <v>2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.75">
      <c r="A167" s="35"/>
      <c r="B167" s="4"/>
      <c r="C167" s="10"/>
      <c r="D167" s="4"/>
      <c r="E167" s="4"/>
      <c r="F167" s="4"/>
      <c r="G167" s="17"/>
      <c r="H167" s="1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3.5" thickBot="1">
      <c r="A168" s="35"/>
      <c r="B168" s="4">
        <f ca="1">RAND()</f>
        <v>0.17970903433117791</v>
      </c>
      <c r="C168" s="10"/>
      <c r="D168" s="4"/>
      <c r="E168" s="4"/>
      <c r="F168" s="4"/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.75">
      <c r="A169" s="20" t="s">
        <v>10</v>
      </c>
      <c r="B169" s="21"/>
      <c r="C169" s="22">
        <f t="shared" ref="C169:C171" ca="1" si="128">_xlfn.BETA.INV(RAND(),G164+1,H164+1)</f>
        <v>0.14077941810226621</v>
      </c>
      <c r="D169" s="23" t="b">
        <f ca="1">AND(C169&gt;C170,C169&gt;C171)</f>
        <v>0</v>
      </c>
      <c r="E169" s="21" t="str">
        <f ca="1">IF(D169 = TRUE, IF(B168&lt;=$B$1, TRUE, FALSE), " ")</f>
        <v xml:space="preserve"> </v>
      </c>
      <c r="F169" s="21"/>
      <c r="G169" s="24">
        <f t="shared" ref="G169:G171" ca="1" si="129">IF(AND(D169 = TRUE,E169 = TRUE), G164+1,G164)</f>
        <v>0</v>
      </c>
      <c r="H169" s="24">
        <f t="shared" ref="H169:H171" ca="1" si="130">IF(AND(D169 = TRUE, E169 = FALSE), H164+1,H164)</f>
        <v>3</v>
      </c>
      <c r="I169" s="25">
        <f t="shared" ref="I169:I171" ca="1" si="131">SUM(G169:H169)</f>
        <v>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.75">
      <c r="A170" s="26" t="s">
        <v>11</v>
      </c>
      <c r="B170" s="4"/>
      <c r="C170" s="10">
        <f t="shared" ca="1" si="128"/>
        <v>0.91912630966802966</v>
      </c>
      <c r="D170" s="27" t="b">
        <f ca="1">AND(C170&gt;C169,C170&gt;C171)</f>
        <v>1</v>
      </c>
      <c r="E170" s="4" t="b">
        <f ca="1">IF(D170 = TRUE, IF(B168&lt;=$D$1, TRUE, FALSE), " ")</f>
        <v>1</v>
      </c>
      <c r="F170" s="4"/>
      <c r="G170" s="13">
        <f t="shared" ca="1" si="129"/>
        <v>24</v>
      </c>
      <c r="H170" s="13">
        <f t="shared" ca="1" si="130"/>
        <v>4</v>
      </c>
      <c r="I170" s="28">
        <f t="shared" ca="1" si="131"/>
        <v>28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3.5" thickBot="1">
      <c r="A171" s="29" t="s">
        <v>12</v>
      </c>
      <c r="B171" s="30"/>
      <c r="C171" s="31">
        <f t="shared" ca="1" si="128"/>
        <v>0.55761704430679615</v>
      </c>
      <c r="D171" s="32" t="b">
        <f ca="1">AND(C171&gt;C169,C171&gt;C170)</f>
        <v>0</v>
      </c>
      <c r="E171" s="30" t="str">
        <f ca="1">IF(D171 = TRUE, IF(B168&lt;=$F$1, TRUE, FALSE), " ")</f>
        <v xml:space="preserve"> </v>
      </c>
      <c r="F171" s="30"/>
      <c r="G171" s="33">
        <f t="shared" ca="1" si="129"/>
        <v>0</v>
      </c>
      <c r="H171" s="33">
        <f t="shared" ca="1" si="130"/>
        <v>2</v>
      </c>
      <c r="I171" s="34">
        <f t="shared" ca="1" si="131"/>
        <v>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.75">
      <c r="A172" s="4"/>
      <c r="B172" s="4"/>
      <c r="C172" s="10"/>
      <c r="D172" s="4"/>
      <c r="E172" s="4"/>
      <c r="F172" s="4"/>
      <c r="G172" s="7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3.5" thickBot="1">
      <c r="A173" s="4"/>
      <c r="B173" s="4">
        <f ca="1">RAND()</f>
        <v>0.96236940073368704</v>
      </c>
      <c r="C173" s="10"/>
      <c r="D173" s="4"/>
      <c r="E173" s="4"/>
      <c r="F173" s="4"/>
      <c r="G173" s="7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.75">
      <c r="A174" s="20" t="s">
        <v>10</v>
      </c>
      <c r="B174" s="21"/>
      <c r="C174" s="22">
        <f t="shared" ref="C174:C176" ca="1" si="132">_xlfn.BETA.INV(RAND(),G169+1,H169+1)</f>
        <v>0.15262996081398306</v>
      </c>
      <c r="D174" s="23" t="b">
        <f ca="1">AND(C174&gt;C175,C174&gt;C176)</f>
        <v>0</v>
      </c>
      <c r="E174" s="21" t="str">
        <f ca="1">IF(D174 = TRUE, IF(B173&lt;=$B$1, TRUE, FALSE), " ")</f>
        <v xml:space="preserve"> </v>
      </c>
      <c r="F174" s="21"/>
      <c r="G174" s="24">
        <f t="shared" ref="G174:G176" ca="1" si="133">IF(AND(D174 = TRUE,E174 = TRUE), G169+1,G169)</f>
        <v>0</v>
      </c>
      <c r="H174" s="24">
        <f t="shared" ref="H174:H176" ca="1" si="134">IF(AND(D174 = TRUE, E174 = FALSE), H169+1,H169)</f>
        <v>3</v>
      </c>
      <c r="I174" s="25">
        <f t="shared" ref="I174:I176" ca="1" si="135">SUM(G174:H174)</f>
        <v>3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.75">
      <c r="A175" s="26" t="s">
        <v>11</v>
      </c>
      <c r="B175" s="4"/>
      <c r="C175" s="10">
        <f t="shared" ca="1" si="132"/>
        <v>0.78630998931364149</v>
      </c>
      <c r="D175" s="27" t="b">
        <f ca="1">AND(C175&gt;C174,C175&gt;C176)</f>
        <v>1</v>
      </c>
      <c r="E175" s="4" t="b">
        <f ca="1">IF(D175 = TRUE, IF(B173&lt;=$D$1, TRUE, FALSE), " ")</f>
        <v>0</v>
      </c>
      <c r="F175" s="4"/>
      <c r="G175" s="13">
        <f t="shared" ca="1" si="133"/>
        <v>24</v>
      </c>
      <c r="H175" s="13">
        <f t="shared" ca="1" si="134"/>
        <v>5</v>
      </c>
      <c r="I175" s="28">
        <f t="shared" ca="1" si="135"/>
        <v>29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3.5" thickBot="1">
      <c r="A176" s="29" t="s">
        <v>12</v>
      </c>
      <c r="B176" s="30"/>
      <c r="C176" s="31">
        <f t="shared" ca="1" si="132"/>
        <v>1.4731197769822341E-2</v>
      </c>
      <c r="D176" s="32" t="b">
        <f ca="1">AND(C176&gt;C174,C176&gt;C175)</f>
        <v>0</v>
      </c>
      <c r="E176" s="30" t="str">
        <f ca="1">IF(D176 = TRUE, IF(B173&lt;=$F$1, TRUE, FALSE), " ")</f>
        <v xml:space="preserve"> </v>
      </c>
      <c r="F176" s="30"/>
      <c r="G176" s="33">
        <f t="shared" ca="1" si="133"/>
        <v>0</v>
      </c>
      <c r="H176" s="33">
        <f t="shared" ca="1" si="134"/>
        <v>2</v>
      </c>
      <c r="I176" s="34">
        <f t="shared" ca="1" si="135"/>
        <v>2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.5" customHeight="1">
      <c r="A177" s="35"/>
      <c r="B177" s="4"/>
      <c r="C177" s="10"/>
      <c r="D177" s="4"/>
      <c r="E177" s="4"/>
      <c r="F177" s="4"/>
      <c r="G177" s="17"/>
      <c r="H177" s="1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3.5" thickBot="1">
      <c r="A178" s="35"/>
      <c r="B178" s="4">
        <f ca="1">RAND()</f>
        <v>0.65494197046708413</v>
      </c>
      <c r="C178" s="10"/>
      <c r="D178" s="4"/>
      <c r="E178" s="4"/>
      <c r="F178" s="4"/>
      <c r="G178" s="7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.75">
      <c r="A179" s="20" t="s">
        <v>10</v>
      </c>
      <c r="B179" s="21"/>
      <c r="C179" s="22">
        <f t="shared" ref="C179:C181" ca="1" si="136">_xlfn.BETA.INV(RAND(),G174+1,H174+1)</f>
        <v>2.8033864453819571E-2</v>
      </c>
      <c r="D179" s="23" t="b">
        <f ca="1">AND(C179&gt;C180,C179&gt;C181)</f>
        <v>0</v>
      </c>
      <c r="E179" s="21" t="str">
        <f ca="1">IF(D179 = TRUE, IF(B178&lt;=$B$1, TRUE, FALSE), " ")</f>
        <v xml:space="preserve"> </v>
      </c>
      <c r="F179" s="21"/>
      <c r="G179" s="24">
        <f t="shared" ref="G179:G181" ca="1" si="137">IF(AND(D179 = TRUE,E179 = TRUE), G174+1,G174)</f>
        <v>0</v>
      </c>
      <c r="H179" s="24">
        <f t="shared" ref="H179:H181" ca="1" si="138">IF(AND(D179 = TRUE, E179 = FALSE), H174+1,H174)</f>
        <v>3</v>
      </c>
      <c r="I179" s="25">
        <f t="shared" ref="I179:I181" ca="1" si="139">SUM(G179:H179)</f>
        <v>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.75">
      <c r="A180" s="26" t="s">
        <v>11</v>
      </c>
      <c r="B180" s="4"/>
      <c r="C180" s="10">
        <f t="shared" ca="1" si="136"/>
        <v>0.8383085366389923</v>
      </c>
      <c r="D180" s="27" t="b">
        <f ca="1">AND(C180&gt;C179,C180&gt;C181)</f>
        <v>1</v>
      </c>
      <c r="E180" s="4" t="b">
        <f ca="1">IF(D180 = TRUE, IF(B178&lt;=$D$1, TRUE, FALSE), " ")</f>
        <v>1</v>
      </c>
      <c r="F180" s="4"/>
      <c r="G180" s="13">
        <f t="shared" ca="1" si="137"/>
        <v>25</v>
      </c>
      <c r="H180" s="13">
        <f t="shared" ca="1" si="138"/>
        <v>5</v>
      </c>
      <c r="I180" s="28">
        <f t="shared" ca="1" si="139"/>
        <v>30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3.5" thickBot="1">
      <c r="A181" s="29" t="s">
        <v>12</v>
      </c>
      <c r="B181" s="30"/>
      <c r="C181" s="31">
        <f t="shared" ca="1" si="136"/>
        <v>0.2167996500070043</v>
      </c>
      <c r="D181" s="32" t="b">
        <f ca="1">AND(C181&gt;C179,C181&gt;C180)</f>
        <v>0</v>
      </c>
      <c r="E181" s="30" t="str">
        <f ca="1">IF(D181 = TRUE, IF(B178&lt;=$F$1, TRUE, FALSE), " ")</f>
        <v xml:space="preserve"> </v>
      </c>
      <c r="F181" s="30"/>
      <c r="G181" s="33">
        <f t="shared" ca="1" si="137"/>
        <v>0</v>
      </c>
      <c r="H181" s="33">
        <f t="shared" ca="1" si="138"/>
        <v>2</v>
      </c>
      <c r="I181" s="34">
        <f t="shared" ca="1" si="139"/>
        <v>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.75">
      <c r="A182" s="35"/>
      <c r="B182" s="4"/>
      <c r="C182" s="10"/>
      <c r="D182" s="4"/>
      <c r="E182" s="4"/>
      <c r="F182" s="4"/>
      <c r="G182" s="7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3.5" thickBot="1">
      <c r="A183" s="35"/>
      <c r="B183" s="4">
        <f ca="1">RAND()</f>
        <v>0.579748759208639</v>
      </c>
      <c r="C183" s="10"/>
      <c r="D183" s="4"/>
      <c r="E183" s="4"/>
      <c r="F183" s="4"/>
      <c r="G183" s="7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2.75">
      <c r="A184" s="20" t="s">
        <v>10</v>
      </c>
      <c r="B184" s="21"/>
      <c r="C184" s="22">
        <f t="shared" ref="C184:C186" ca="1" si="140">_xlfn.BETA.INV(RAND(),G179+1,H179+1)</f>
        <v>2.7111520695700605E-2</v>
      </c>
      <c r="D184" s="23" t="b">
        <f ca="1">AND(C184&gt;C185,C184&gt;C186)</f>
        <v>0</v>
      </c>
      <c r="E184" s="21" t="str">
        <f ca="1">IF(D184 = TRUE, IF(B183&lt;=$B$1, TRUE, FALSE), " ")</f>
        <v xml:space="preserve"> </v>
      </c>
      <c r="F184" s="21"/>
      <c r="G184" s="24">
        <f t="shared" ref="G184:G186" ca="1" si="141">IF(AND(D184 = TRUE,E184 = TRUE), G179+1,G179)</f>
        <v>0</v>
      </c>
      <c r="H184" s="24">
        <f t="shared" ref="H184:H186" ca="1" si="142">IF(AND(D184 = TRUE, E184 = FALSE), H179+1,H179)</f>
        <v>3</v>
      </c>
      <c r="I184" s="25">
        <f t="shared" ref="I184:I186" ca="1" si="143">SUM(G184:H184)</f>
        <v>3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2.75">
      <c r="A185" s="26" t="s">
        <v>11</v>
      </c>
      <c r="B185" s="4"/>
      <c r="C185" s="10">
        <f t="shared" ca="1" si="140"/>
        <v>0.91076978897241401</v>
      </c>
      <c r="D185" s="27" t="b">
        <f ca="1">AND(C185&gt;C184,C185&gt;C186)</f>
        <v>1</v>
      </c>
      <c r="E185" s="4" t="b">
        <f ca="1">IF(D185 = TRUE, IF(B183&lt;=$D$1, TRUE, FALSE), " ")</f>
        <v>1</v>
      </c>
      <c r="F185" s="4"/>
      <c r="G185" s="13">
        <f t="shared" ca="1" si="141"/>
        <v>26</v>
      </c>
      <c r="H185" s="13">
        <f t="shared" ca="1" si="142"/>
        <v>5</v>
      </c>
      <c r="I185" s="28">
        <f t="shared" ca="1" si="143"/>
        <v>31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3.5" thickBot="1">
      <c r="A186" s="29" t="s">
        <v>12</v>
      </c>
      <c r="B186" s="30"/>
      <c r="C186" s="31">
        <f t="shared" ca="1" si="140"/>
        <v>0.18663109604971209</v>
      </c>
      <c r="D186" s="32" t="b">
        <f ca="1">AND(C186&gt;C184,C186&gt;C185)</f>
        <v>0</v>
      </c>
      <c r="E186" s="30" t="str">
        <f ca="1">IF(D186 = TRUE, IF(B183&lt;=$F$1, TRUE, FALSE), " ")</f>
        <v xml:space="preserve"> </v>
      </c>
      <c r="F186" s="30"/>
      <c r="G186" s="33">
        <f t="shared" ca="1" si="141"/>
        <v>0</v>
      </c>
      <c r="H186" s="33">
        <f t="shared" ca="1" si="142"/>
        <v>2</v>
      </c>
      <c r="I186" s="34">
        <f t="shared" ca="1" si="143"/>
        <v>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2.75">
      <c r="A187" s="4"/>
      <c r="B187" s="4"/>
      <c r="C187" s="10"/>
      <c r="D187" s="4"/>
      <c r="E187" s="4"/>
      <c r="F187" s="4"/>
      <c r="G187" s="17"/>
      <c r="H187" s="1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3.5" thickBot="1">
      <c r="A188" s="4"/>
      <c r="B188" s="4">
        <f ca="1">RAND()</f>
        <v>0.66305052697814526</v>
      </c>
      <c r="C188" s="10"/>
      <c r="D188" s="4"/>
      <c r="E188" s="4"/>
      <c r="F188" s="4"/>
      <c r="G188" s="7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2.75">
      <c r="A189" s="20" t="s">
        <v>10</v>
      </c>
      <c r="B189" s="21"/>
      <c r="C189" s="22">
        <f t="shared" ref="C189:C191" ca="1" si="144">_xlfn.BETA.INV(RAND(),G184+1,H184+1)</f>
        <v>0.61231233364743876</v>
      </c>
      <c r="D189" s="23" t="b">
        <f ca="1">AND(C189&gt;C190,C189&gt;C191)</f>
        <v>0</v>
      </c>
      <c r="E189" s="21" t="str">
        <f ca="1">IF(D189 = TRUE, IF(B188&lt;=$B$1, TRUE, FALSE), " ")</f>
        <v xml:space="preserve"> </v>
      </c>
      <c r="F189" s="21"/>
      <c r="G189" s="24">
        <f t="shared" ref="G189:G191" ca="1" si="145">IF(AND(D189 = TRUE,E189 = TRUE), G184+1,G184)</f>
        <v>0</v>
      </c>
      <c r="H189" s="24">
        <f t="shared" ref="H189:H191" ca="1" si="146">IF(AND(D189 = TRUE, E189 = FALSE), H184+1,H184)</f>
        <v>3</v>
      </c>
      <c r="I189" s="25">
        <f t="shared" ref="I189:I191" ca="1" si="147">SUM(G189:H189)</f>
        <v>3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2.75">
      <c r="A190" s="26" t="s">
        <v>11</v>
      </c>
      <c r="B190" s="4"/>
      <c r="C190" s="10">
        <f t="shared" ca="1" si="144"/>
        <v>0.72576495678471709</v>
      </c>
      <c r="D190" s="27" t="b">
        <f ca="1">AND(C190&gt;C189,C190&gt;C191)</f>
        <v>1</v>
      </c>
      <c r="E190" s="4" t="b">
        <f ca="1">IF(D190 = TRUE, IF(B188&lt;=$D$1, TRUE, FALSE), " ")</f>
        <v>1</v>
      </c>
      <c r="F190" s="4"/>
      <c r="G190" s="13">
        <f t="shared" ca="1" si="145"/>
        <v>27</v>
      </c>
      <c r="H190" s="13">
        <f t="shared" ca="1" si="146"/>
        <v>5</v>
      </c>
      <c r="I190" s="28">
        <f t="shared" ca="1" si="147"/>
        <v>32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3.5" thickBot="1">
      <c r="A191" s="29" t="s">
        <v>12</v>
      </c>
      <c r="B191" s="30"/>
      <c r="C191" s="31">
        <f t="shared" ca="1" si="144"/>
        <v>0.157324599018864</v>
      </c>
      <c r="D191" s="32" t="b">
        <f ca="1">AND(C191&gt;C189,C191&gt;C190)</f>
        <v>0</v>
      </c>
      <c r="E191" s="30" t="str">
        <f ca="1">IF(D191 = TRUE, IF(B188&lt;=$F$1, TRUE, FALSE), " ")</f>
        <v xml:space="preserve"> </v>
      </c>
      <c r="F191" s="30"/>
      <c r="G191" s="33">
        <f t="shared" ca="1" si="145"/>
        <v>0</v>
      </c>
      <c r="H191" s="33">
        <f t="shared" ca="1" si="146"/>
        <v>2</v>
      </c>
      <c r="I191" s="34">
        <f t="shared" ca="1" si="147"/>
        <v>2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2.75">
      <c r="A192" s="35"/>
      <c r="B192" s="4"/>
      <c r="C192" s="10"/>
      <c r="D192" s="4"/>
      <c r="E192" s="4"/>
      <c r="F192" s="4"/>
      <c r="G192" s="7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3.5" thickBot="1">
      <c r="A193" s="35"/>
      <c r="B193" s="4">
        <f ca="1">RAND()</f>
        <v>0.33631121546216536</v>
      </c>
      <c r="C193" s="10"/>
      <c r="D193" s="4"/>
      <c r="E193" s="4"/>
      <c r="F193" s="4"/>
      <c r="G193" s="7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2.75">
      <c r="A194" s="20" t="s">
        <v>10</v>
      </c>
      <c r="B194" s="21"/>
      <c r="C194" s="22">
        <f t="shared" ref="C194:C196" ca="1" si="148">_xlfn.BETA.INV(RAND(),G189+1,H189+1)</f>
        <v>8.5582111830615537E-2</v>
      </c>
      <c r="D194" s="23" t="b">
        <f ca="1">AND(C194&gt;C195,C194&gt;C196)</f>
        <v>0</v>
      </c>
      <c r="E194" s="21" t="str">
        <f ca="1">IF(D194 = TRUE, IF(B193&lt;=$B$1, TRUE, FALSE), " ")</f>
        <v xml:space="preserve"> </v>
      </c>
      <c r="F194" s="21"/>
      <c r="G194" s="24">
        <f t="shared" ref="G194:G196" ca="1" si="149">IF(AND(D194 = TRUE,E194 = TRUE), G189+1,G189)</f>
        <v>0</v>
      </c>
      <c r="H194" s="24">
        <f t="shared" ref="H194:H196" ca="1" si="150">IF(AND(D194 = TRUE, E194 = FALSE), H189+1,H189)</f>
        <v>3</v>
      </c>
      <c r="I194" s="25">
        <f t="shared" ref="I194:I196" ca="1" si="151">SUM(G194:H194)</f>
        <v>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2.75">
      <c r="A195" s="26" t="s">
        <v>11</v>
      </c>
      <c r="B195" s="4"/>
      <c r="C195" s="10">
        <f t="shared" ca="1" si="148"/>
        <v>0.86751897580284087</v>
      </c>
      <c r="D195" s="27" t="b">
        <f ca="1">AND(C195&gt;C194,C195&gt;C196)</f>
        <v>1</v>
      </c>
      <c r="E195" s="4" t="b">
        <f ca="1">IF(D195 = TRUE, IF(B193&lt;=$D$1, TRUE, FALSE), " ")</f>
        <v>1</v>
      </c>
      <c r="F195" s="4"/>
      <c r="G195" s="13">
        <f t="shared" ca="1" si="149"/>
        <v>28</v>
      </c>
      <c r="H195" s="13">
        <f t="shared" ca="1" si="150"/>
        <v>5</v>
      </c>
      <c r="I195" s="28">
        <f t="shared" ca="1" si="151"/>
        <v>33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3.5" thickBot="1">
      <c r="A196" s="29" t="s">
        <v>12</v>
      </c>
      <c r="B196" s="30"/>
      <c r="C196" s="31">
        <f t="shared" ca="1" si="148"/>
        <v>6.3042205453785916E-2</v>
      </c>
      <c r="D196" s="32" t="b">
        <f ca="1">AND(C196&gt;C194,C196&gt;C195)</f>
        <v>0</v>
      </c>
      <c r="E196" s="30" t="str">
        <f ca="1">IF(D196 = TRUE, IF(B193&lt;=$F$1, TRUE, FALSE), " ")</f>
        <v xml:space="preserve"> </v>
      </c>
      <c r="F196" s="30"/>
      <c r="G196" s="33">
        <f t="shared" ca="1" si="149"/>
        <v>0</v>
      </c>
      <c r="H196" s="33">
        <f t="shared" ca="1" si="150"/>
        <v>2</v>
      </c>
      <c r="I196" s="34">
        <f t="shared" ca="1" si="151"/>
        <v>2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2.75">
      <c r="A197" s="35"/>
      <c r="B197" s="4"/>
      <c r="C197" s="10"/>
      <c r="D197" s="4"/>
      <c r="E197" s="4"/>
      <c r="F197" s="4"/>
      <c r="G197" s="17"/>
      <c r="H197" s="1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3.5" thickBot="1">
      <c r="A198" s="35"/>
      <c r="B198" s="4">
        <f ca="1">RAND()</f>
        <v>0.18543208722052029</v>
      </c>
      <c r="C198" s="10"/>
      <c r="D198" s="4"/>
      <c r="E198" s="4"/>
      <c r="F198" s="4"/>
      <c r="G198" s="7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2.75">
      <c r="A199" s="20" t="s">
        <v>10</v>
      </c>
      <c r="B199" s="21"/>
      <c r="C199" s="22">
        <f t="shared" ref="C199:C201" ca="1" si="152">_xlfn.BETA.INV(RAND(),G194+1,H194+1)</f>
        <v>4.6190482550037715E-2</v>
      </c>
      <c r="D199" s="23" t="b">
        <f ca="1">AND(C199&gt;C200,C199&gt;C201)</f>
        <v>0</v>
      </c>
      <c r="E199" s="21" t="str">
        <f ca="1">IF(D199 = TRUE, IF(B198&lt;=$B$1, TRUE, FALSE), " ")</f>
        <v xml:space="preserve"> </v>
      </c>
      <c r="F199" s="21"/>
      <c r="G199" s="24">
        <f t="shared" ref="G199:G201" ca="1" si="153">IF(AND(D199 = TRUE,E199 = TRUE), G194+1,G194)</f>
        <v>0</v>
      </c>
      <c r="H199" s="24">
        <f t="shared" ref="H199:H201" ca="1" si="154">IF(AND(D199 = TRUE, E199 = FALSE), H194+1,H194)</f>
        <v>3</v>
      </c>
      <c r="I199" s="25">
        <f t="shared" ref="I199:I201" ca="1" si="155">SUM(G199:H199)</f>
        <v>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2.75">
      <c r="A200" s="26" t="s">
        <v>11</v>
      </c>
      <c r="B200" s="4"/>
      <c r="C200" s="10">
        <f t="shared" ca="1" si="152"/>
        <v>0.85247777256065704</v>
      </c>
      <c r="D200" s="27" t="b">
        <f ca="1">AND(C200&gt;C199,C200&gt;C201)</f>
        <v>1</v>
      </c>
      <c r="E200" s="4" t="b">
        <f ca="1">IF(D200 = TRUE, IF(B198&lt;=$D$1, TRUE, FALSE), " ")</f>
        <v>1</v>
      </c>
      <c r="F200" s="4"/>
      <c r="G200" s="13">
        <f t="shared" ca="1" si="153"/>
        <v>29</v>
      </c>
      <c r="H200" s="13">
        <f t="shared" ca="1" si="154"/>
        <v>5</v>
      </c>
      <c r="I200" s="28">
        <f t="shared" ca="1" si="155"/>
        <v>34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3.5" thickBot="1">
      <c r="A201" s="29" t="s">
        <v>12</v>
      </c>
      <c r="B201" s="30"/>
      <c r="C201" s="31">
        <f t="shared" ca="1" si="152"/>
        <v>5.6684691038512716E-2</v>
      </c>
      <c r="D201" s="32" t="b">
        <f ca="1">AND(C201&gt;C199,C201&gt;C200)</f>
        <v>0</v>
      </c>
      <c r="E201" s="30" t="str">
        <f ca="1">IF(D201 = TRUE, IF(B198&lt;=$F$1, TRUE, FALSE), " ")</f>
        <v xml:space="preserve"> </v>
      </c>
      <c r="F201" s="30"/>
      <c r="G201" s="33">
        <f t="shared" ca="1" si="153"/>
        <v>0</v>
      </c>
      <c r="H201" s="33">
        <f t="shared" ca="1" si="154"/>
        <v>2</v>
      </c>
      <c r="I201" s="34">
        <f t="shared" ca="1" si="155"/>
        <v>2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2.75">
      <c r="A202" s="4"/>
      <c r="B202" s="4"/>
      <c r="C202" s="10"/>
      <c r="D202" s="4"/>
      <c r="E202" s="4"/>
      <c r="F202" s="4"/>
      <c r="G202" s="7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3.5" thickBot="1">
      <c r="A203" s="4"/>
      <c r="B203" s="4">
        <f ca="1">RAND()</f>
        <v>0.95760719992244892</v>
      </c>
      <c r="C203" s="10"/>
      <c r="D203" s="4"/>
      <c r="E203" s="4"/>
      <c r="F203" s="4"/>
      <c r="G203" s="7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2.75">
      <c r="A204" s="20" t="s">
        <v>10</v>
      </c>
      <c r="B204" s="21"/>
      <c r="C204" s="22">
        <f t="shared" ref="C204:C206" ca="1" si="156">_xlfn.BETA.INV(RAND(),G199+1,H199+1)</f>
        <v>4.3419414005699583E-2</v>
      </c>
      <c r="D204" s="23" t="b">
        <f ca="1">AND(C204&gt;C205,C204&gt;C206)</f>
        <v>0</v>
      </c>
      <c r="E204" s="21" t="str">
        <f ca="1">IF(D204 = TRUE, IF(B203&lt;=$B$1, TRUE, FALSE), " ")</f>
        <v xml:space="preserve"> </v>
      </c>
      <c r="F204" s="21"/>
      <c r="G204" s="24">
        <f t="shared" ref="G204:G206" ca="1" si="157">IF(AND(D204 = TRUE,E204 = TRUE), G199+1,G199)</f>
        <v>0</v>
      </c>
      <c r="H204" s="24">
        <f t="shared" ref="H204:H206" ca="1" si="158">IF(AND(D204 = TRUE, E204 = FALSE), H199+1,H199)</f>
        <v>3</v>
      </c>
      <c r="I204" s="25">
        <f t="shared" ref="I204:I206" ca="1" si="159">SUM(G204:H204)</f>
        <v>3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.75">
      <c r="A205" s="26" t="s">
        <v>11</v>
      </c>
      <c r="B205" s="4"/>
      <c r="C205" s="10">
        <f t="shared" ca="1" si="156"/>
        <v>0.88968048986737314</v>
      </c>
      <c r="D205" s="27" t="b">
        <f ca="1">AND(C205&gt;C204,C205&gt;C206)</f>
        <v>1</v>
      </c>
      <c r="E205" s="4" t="b">
        <f ca="1">IF(D205 = TRUE, IF(B203&lt;=$D$1, TRUE, FALSE), " ")</f>
        <v>0</v>
      </c>
      <c r="F205" s="4"/>
      <c r="G205" s="13">
        <f t="shared" ca="1" si="157"/>
        <v>29</v>
      </c>
      <c r="H205" s="13">
        <f t="shared" ca="1" si="158"/>
        <v>6</v>
      </c>
      <c r="I205" s="28">
        <f t="shared" ca="1" si="159"/>
        <v>35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3.5" thickBot="1">
      <c r="A206" s="29" t="s">
        <v>12</v>
      </c>
      <c r="B206" s="30"/>
      <c r="C206" s="31">
        <f t="shared" ca="1" si="156"/>
        <v>0.11108982699252073</v>
      </c>
      <c r="D206" s="32" t="b">
        <f ca="1">AND(C206&gt;C204,C206&gt;C205)</f>
        <v>0</v>
      </c>
      <c r="E206" s="30" t="str">
        <f ca="1">IF(D206 = TRUE, IF(B203&lt;=$F$1, TRUE, FALSE), " ")</f>
        <v xml:space="preserve"> </v>
      </c>
      <c r="F206" s="30"/>
      <c r="G206" s="33">
        <f t="shared" ca="1" si="157"/>
        <v>0</v>
      </c>
      <c r="H206" s="33">
        <f t="shared" ca="1" si="158"/>
        <v>2</v>
      </c>
      <c r="I206" s="34">
        <f t="shared" ca="1" si="159"/>
        <v>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.75">
      <c r="A207" s="35"/>
      <c r="B207" s="4"/>
      <c r="C207" s="10"/>
      <c r="D207" s="4"/>
      <c r="E207" s="4"/>
      <c r="F207" s="4"/>
      <c r="G207" s="17"/>
      <c r="H207" s="1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3.5" thickBot="1">
      <c r="A208" s="35"/>
      <c r="B208" s="4">
        <f ca="1">RAND()</f>
        <v>0.50410828677361363</v>
      </c>
      <c r="C208" s="10"/>
      <c r="D208" s="4"/>
      <c r="E208" s="4"/>
      <c r="F208" s="4"/>
      <c r="G208" s="7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.75">
      <c r="A209" s="20" t="s">
        <v>10</v>
      </c>
      <c r="B209" s="21"/>
      <c r="C209" s="22">
        <f t="shared" ref="C209:C211" ca="1" si="160">_xlfn.BETA.INV(RAND(),G204+1,H204+1)</f>
        <v>2.5119685344019205E-2</v>
      </c>
      <c r="D209" s="23" t="b">
        <f ca="1">AND(C209&gt;C210,C209&gt;C211)</f>
        <v>0</v>
      </c>
      <c r="E209" s="21" t="str">
        <f ca="1">IF(D209 = TRUE, IF(B208&lt;=$B$1, TRUE, FALSE), " ")</f>
        <v xml:space="preserve"> </v>
      </c>
      <c r="F209" s="21"/>
      <c r="G209" s="24">
        <f t="shared" ref="G209:G211" ca="1" si="161">IF(AND(D209 = TRUE,E209 = TRUE), G204+1,G204)</f>
        <v>0</v>
      </c>
      <c r="H209" s="24">
        <f t="shared" ref="H209:H211" ca="1" si="162">IF(AND(D209 = TRUE, E209 = FALSE), H204+1,H204)</f>
        <v>3</v>
      </c>
      <c r="I209" s="25">
        <f t="shared" ref="I209:I211" ca="1" si="163">SUM(G209:H209)</f>
        <v>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.75">
      <c r="A210" s="26" t="s">
        <v>11</v>
      </c>
      <c r="B210" s="4"/>
      <c r="C210" s="10">
        <f t="shared" ca="1" si="160"/>
        <v>0.77019435213495191</v>
      </c>
      <c r="D210" s="27" t="b">
        <f ca="1">AND(C210&gt;C209,C210&gt;C211)</f>
        <v>1</v>
      </c>
      <c r="E210" s="4" t="b">
        <f ca="1">IF(D210 = TRUE, IF(B208&lt;=$D$1, TRUE, FALSE), " ")</f>
        <v>1</v>
      </c>
      <c r="F210" s="4"/>
      <c r="G210" s="13">
        <f t="shared" ca="1" si="161"/>
        <v>30</v>
      </c>
      <c r="H210" s="13">
        <f t="shared" ca="1" si="162"/>
        <v>6</v>
      </c>
      <c r="I210" s="28">
        <f t="shared" ca="1" si="163"/>
        <v>36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3.5" thickBot="1">
      <c r="A211" s="29" t="s">
        <v>12</v>
      </c>
      <c r="B211" s="30"/>
      <c r="C211" s="31">
        <f t="shared" ca="1" si="160"/>
        <v>0.44144292794905049</v>
      </c>
      <c r="D211" s="32" t="b">
        <f ca="1">AND(C211&gt;C209,C211&gt;C210)</f>
        <v>0</v>
      </c>
      <c r="E211" s="30" t="str">
        <f ca="1">IF(D211 = TRUE, IF(B208&lt;=$F$1, TRUE, FALSE), " ")</f>
        <v xml:space="preserve"> </v>
      </c>
      <c r="F211" s="30"/>
      <c r="G211" s="33">
        <f t="shared" ca="1" si="161"/>
        <v>0</v>
      </c>
      <c r="H211" s="33">
        <f t="shared" ca="1" si="162"/>
        <v>2</v>
      </c>
      <c r="I211" s="34">
        <f t="shared" ca="1" si="163"/>
        <v>2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.75">
      <c r="A212" s="35"/>
      <c r="B212" s="4"/>
      <c r="C212" s="10"/>
      <c r="D212" s="4"/>
      <c r="E212" s="4"/>
      <c r="F212" s="4"/>
      <c r="G212" s="7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3.5" thickBot="1">
      <c r="A213" s="35"/>
      <c r="B213" s="4">
        <f ca="1">RAND()</f>
        <v>0.51728024374029158</v>
      </c>
      <c r="C213" s="10"/>
      <c r="D213" s="4"/>
      <c r="E213" s="4"/>
      <c r="F213" s="4"/>
      <c r="G213" s="7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.75">
      <c r="A214" s="20" t="s">
        <v>10</v>
      </c>
      <c r="B214" s="21"/>
      <c r="C214" s="22">
        <f t="shared" ref="C214:C216" ca="1" si="164">_xlfn.BETA.INV(RAND(),G209+1,H209+1)</f>
        <v>4.3943962053400912E-2</v>
      </c>
      <c r="D214" s="23" t="b">
        <f ca="1">AND(C214&gt;C215,C214&gt;C216)</f>
        <v>0</v>
      </c>
      <c r="E214" s="21" t="str">
        <f ca="1">IF(D214 = TRUE, IF(B213&lt;=$B$1, TRUE, FALSE), " ")</f>
        <v xml:space="preserve"> </v>
      </c>
      <c r="F214" s="21"/>
      <c r="G214" s="24">
        <f t="shared" ref="G214:G216" ca="1" si="165">IF(AND(D214 = TRUE,E214 = TRUE), G209+1,G209)</f>
        <v>0</v>
      </c>
      <c r="H214" s="24">
        <f t="shared" ref="H214:H216" ca="1" si="166">IF(AND(D214 = TRUE, E214 = FALSE), H209+1,H209)</f>
        <v>3</v>
      </c>
      <c r="I214" s="25">
        <f t="shared" ref="I214:I216" ca="1" si="167">SUM(G214:H214)</f>
        <v>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.75">
      <c r="A215" s="26" t="s">
        <v>11</v>
      </c>
      <c r="B215" s="4"/>
      <c r="C215" s="10">
        <f t="shared" ca="1" si="164"/>
        <v>0.84644098946724</v>
      </c>
      <c r="D215" s="27" t="b">
        <f ca="1">AND(C215&gt;C214,C215&gt;C216)</f>
        <v>1</v>
      </c>
      <c r="E215" s="4" t="b">
        <f ca="1">IF(D215 = TRUE, IF(B213&lt;=$D$1, TRUE, FALSE), " ")</f>
        <v>1</v>
      </c>
      <c r="F215" s="4"/>
      <c r="G215" s="13">
        <f t="shared" ca="1" si="165"/>
        <v>31</v>
      </c>
      <c r="H215" s="13">
        <f t="shared" ca="1" si="166"/>
        <v>6</v>
      </c>
      <c r="I215" s="28">
        <f t="shared" ca="1" si="167"/>
        <v>37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3.5" thickBot="1">
      <c r="A216" s="29" t="s">
        <v>12</v>
      </c>
      <c r="B216" s="30"/>
      <c r="C216" s="31">
        <f t="shared" ca="1" si="164"/>
        <v>4.963414137812254E-2</v>
      </c>
      <c r="D216" s="32" t="b">
        <f ca="1">AND(C216&gt;C214,C216&gt;C215)</f>
        <v>0</v>
      </c>
      <c r="E216" s="30" t="str">
        <f ca="1">IF(D216 = TRUE, IF(B213&lt;=$F$1, TRUE, FALSE), " ")</f>
        <v xml:space="preserve"> </v>
      </c>
      <c r="F216" s="30"/>
      <c r="G216" s="33">
        <f t="shared" ca="1" si="165"/>
        <v>0</v>
      </c>
      <c r="H216" s="33">
        <f t="shared" ca="1" si="166"/>
        <v>2</v>
      </c>
      <c r="I216" s="34">
        <f t="shared" ca="1" si="167"/>
        <v>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.75">
      <c r="A217" s="35"/>
      <c r="B217" s="4"/>
      <c r="C217" s="10"/>
      <c r="D217" s="4"/>
      <c r="E217" s="4"/>
      <c r="F217" s="4"/>
      <c r="G217" s="7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3.5" thickBot="1">
      <c r="A218" s="19"/>
      <c r="B218" s="4">
        <f ca="1">RAND()</f>
        <v>0.66037754954478323</v>
      </c>
      <c r="C218" s="10"/>
      <c r="D218" s="4"/>
      <c r="E218" s="4"/>
      <c r="F218" s="4"/>
      <c r="G218" s="7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.75">
      <c r="A219" s="20" t="s">
        <v>10</v>
      </c>
      <c r="B219" s="21"/>
      <c r="C219" s="22">
        <f t="shared" ref="C219:C221" ca="1" si="168">_xlfn.BETA.INV(RAND(),G214+1,H214+1)</f>
        <v>0.28432776051051178</v>
      </c>
      <c r="D219" s="23" t="b">
        <f ca="1">AND(C219&gt;C220,C219&gt;C221)</f>
        <v>0</v>
      </c>
      <c r="E219" s="21" t="str">
        <f ca="1">IF(D219 = TRUE, IF(B218&lt;=$B$1, TRUE, FALSE), " ")</f>
        <v xml:space="preserve"> </v>
      </c>
      <c r="F219" s="21"/>
      <c r="G219" s="24">
        <f t="shared" ref="G219:G221" ca="1" si="169">IF(AND(D219 = TRUE,E219 = TRUE), G214+1,G214)</f>
        <v>0</v>
      </c>
      <c r="H219" s="24">
        <f t="shared" ref="H219:H221" ca="1" si="170">IF(AND(D219 = TRUE, E219 = FALSE), H214+1,H214)</f>
        <v>3</v>
      </c>
      <c r="I219" s="25">
        <f t="shared" ref="I219:I221" ca="1" si="171">SUM(G219:H219)</f>
        <v>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.75">
      <c r="A220" s="26" t="s">
        <v>11</v>
      </c>
      <c r="B220" s="4"/>
      <c r="C220" s="10">
        <f t="shared" ca="1" si="168"/>
        <v>0.79968614038184649</v>
      </c>
      <c r="D220" s="27" t="b">
        <f ca="1">AND(C220&gt;C219,C220&gt;C221)</f>
        <v>1</v>
      </c>
      <c r="E220" s="4" t="b">
        <f ca="1">IF(D220 = TRUE, IF(B218&lt;=$D$1, TRUE, FALSE), " ")</f>
        <v>1</v>
      </c>
      <c r="F220" s="4"/>
      <c r="G220" s="13">
        <f t="shared" ca="1" si="169"/>
        <v>32</v>
      </c>
      <c r="H220" s="13">
        <f t="shared" ca="1" si="170"/>
        <v>6</v>
      </c>
      <c r="I220" s="28">
        <f t="shared" ca="1" si="171"/>
        <v>38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3.5" thickBot="1">
      <c r="A221" s="29" t="s">
        <v>12</v>
      </c>
      <c r="B221" s="30"/>
      <c r="C221" s="31">
        <f t="shared" ca="1" si="168"/>
        <v>0.13062286224079647</v>
      </c>
      <c r="D221" s="32" t="b">
        <f ca="1">AND(C221&gt;C219,C221&gt;C220)</f>
        <v>0</v>
      </c>
      <c r="E221" s="30" t="str">
        <f ca="1">IF(D221 = TRUE, IF(B218&lt;=$F$1, TRUE, FALSE), " ")</f>
        <v xml:space="preserve"> </v>
      </c>
      <c r="F221" s="30"/>
      <c r="G221" s="33">
        <f t="shared" ca="1" si="169"/>
        <v>0</v>
      </c>
      <c r="H221" s="33">
        <f t="shared" ca="1" si="170"/>
        <v>2</v>
      </c>
      <c r="I221" s="34">
        <f t="shared" ca="1" si="171"/>
        <v>2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.75">
      <c r="A222" s="35"/>
      <c r="B222" s="4"/>
      <c r="C222" s="10"/>
      <c r="D222" s="4"/>
      <c r="E222" s="4"/>
      <c r="F222" s="4"/>
      <c r="G222" s="7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3.5" thickBot="1">
      <c r="A223" s="19"/>
      <c r="B223" s="4">
        <f ca="1">RAND()</f>
        <v>0.72376132796483739</v>
      </c>
      <c r="C223" s="10"/>
      <c r="D223" s="4"/>
      <c r="E223" s="4"/>
      <c r="F223" s="4"/>
      <c r="G223" s="7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.75">
      <c r="A224" s="20" t="s">
        <v>10</v>
      </c>
      <c r="B224" s="21"/>
      <c r="C224" s="22">
        <f t="shared" ref="C224:C226" ca="1" si="172">_xlfn.BETA.INV(RAND(),G219+1,H219+1)</f>
        <v>0.31234004957170081</v>
      </c>
      <c r="D224" s="23" t="b">
        <f ca="1">AND(C224&gt;C225,C224&gt;C226)</f>
        <v>0</v>
      </c>
      <c r="E224" s="21" t="str">
        <f ca="1">IF(D224 = TRUE, IF(B223&lt;=$B$1, TRUE, FALSE), " ")</f>
        <v xml:space="preserve"> </v>
      </c>
      <c r="F224" s="21"/>
      <c r="G224" s="24">
        <f t="shared" ref="G224:G226" ca="1" si="173">IF(AND(D224 = TRUE,E224 = TRUE), G219+1,G219)</f>
        <v>0</v>
      </c>
      <c r="H224" s="24">
        <f t="shared" ref="H224:H226" ca="1" si="174">IF(AND(D224 = TRUE, E224 = FALSE), H219+1,H219)</f>
        <v>3</v>
      </c>
      <c r="I224" s="25">
        <f t="shared" ref="I224:I226" ca="1" si="175">SUM(G224:H224)</f>
        <v>3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.75">
      <c r="A225" s="26" t="s">
        <v>11</v>
      </c>
      <c r="B225" s="4"/>
      <c r="C225" s="10">
        <f t="shared" ca="1" si="172"/>
        <v>0.7710454157063843</v>
      </c>
      <c r="D225" s="27" t="b">
        <f ca="1">AND(C225&gt;C224,C225&gt;C226)</f>
        <v>1</v>
      </c>
      <c r="E225" s="4" t="b">
        <f ca="1">IF(D225 = TRUE, IF(B223&lt;=$D$1, TRUE, FALSE), " ")</f>
        <v>1</v>
      </c>
      <c r="F225" s="4"/>
      <c r="G225" s="13">
        <f t="shared" ca="1" si="173"/>
        <v>33</v>
      </c>
      <c r="H225" s="13">
        <f t="shared" ca="1" si="174"/>
        <v>6</v>
      </c>
      <c r="I225" s="28">
        <f t="shared" ca="1" si="175"/>
        <v>39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3.5" thickBot="1">
      <c r="A226" s="29" t="s">
        <v>12</v>
      </c>
      <c r="B226" s="30"/>
      <c r="C226" s="31">
        <f t="shared" ca="1" si="172"/>
        <v>0.40278859157850788</v>
      </c>
      <c r="D226" s="32" t="b">
        <f ca="1">AND(C226&gt;C224,C226&gt;C225)</f>
        <v>0</v>
      </c>
      <c r="E226" s="30" t="str">
        <f ca="1">IF(D226 = TRUE, IF(B223&lt;=$F$1, TRUE, FALSE), " ")</f>
        <v xml:space="preserve"> </v>
      </c>
      <c r="F226" s="30"/>
      <c r="G226" s="33">
        <f t="shared" ca="1" si="173"/>
        <v>0</v>
      </c>
      <c r="H226" s="33">
        <f t="shared" ca="1" si="174"/>
        <v>2</v>
      </c>
      <c r="I226" s="34">
        <f t="shared" ca="1" si="175"/>
        <v>2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.75">
      <c r="A227" s="35"/>
      <c r="B227" s="4"/>
      <c r="C227" s="10"/>
      <c r="D227" s="4"/>
      <c r="E227" s="4"/>
      <c r="F227" s="4"/>
      <c r="G227" s="7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3.5" thickBot="1">
      <c r="A228" s="19"/>
      <c r="B228" s="4">
        <f ca="1">RAND()</f>
        <v>0.47705086538178954</v>
      </c>
      <c r="C228" s="10"/>
      <c r="D228" s="4"/>
      <c r="E228" s="4"/>
      <c r="F228" s="4"/>
      <c r="G228" s="7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.75">
      <c r="A229" s="20" t="s">
        <v>10</v>
      </c>
      <c r="B229" s="21"/>
      <c r="C229" s="22">
        <f t="shared" ref="C229:C231" ca="1" si="176">_xlfn.BETA.INV(RAND(),G224+1,H224+1)</f>
        <v>0.3162002769025698</v>
      </c>
      <c r="D229" s="23" t="b">
        <f ca="1">AND(C229&gt;C230,C229&gt;C231)</f>
        <v>0</v>
      </c>
      <c r="E229" s="21" t="str">
        <f ca="1">IF(D229 = TRUE, IF(B228&lt;=$B$1, TRUE, FALSE), " ")</f>
        <v xml:space="preserve"> </v>
      </c>
      <c r="F229" s="21"/>
      <c r="G229" s="24">
        <f t="shared" ref="G229:G231" ca="1" si="177">IF(AND(D229 = TRUE,E229 = TRUE), G224+1,G224)</f>
        <v>0</v>
      </c>
      <c r="H229" s="24">
        <f t="shared" ref="H229:H231" ca="1" si="178">IF(AND(D229 = TRUE, E229 = FALSE), H224+1,H224)</f>
        <v>3</v>
      </c>
      <c r="I229" s="25">
        <f t="shared" ref="I229:I231" ca="1" si="179">SUM(G229:H229)</f>
        <v>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.75">
      <c r="A230" s="26" t="s">
        <v>11</v>
      </c>
      <c r="B230" s="4"/>
      <c r="C230" s="10">
        <f t="shared" ca="1" si="176"/>
        <v>0.81023992237534681</v>
      </c>
      <c r="D230" s="27" t="b">
        <f ca="1">AND(C230&gt;C229,C230&gt;C231)</f>
        <v>1</v>
      </c>
      <c r="E230" s="4" t="b">
        <f ca="1">IF(D230 = TRUE, IF(B228&lt;=$D$1, TRUE, FALSE), " ")</f>
        <v>1</v>
      </c>
      <c r="F230" s="4"/>
      <c r="G230" s="13">
        <f t="shared" ca="1" si="177"/>
        <v>34</v>
      </c>
      <c r="H230" s="13">
        <f t="shared" ca="1" si="178"/>
        <v>6</v>
      </c>
      <c r="I230" s="28">
        <f t="shared" ca="1" si="179"/>
        <v>40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3.5" thickBot="1">
      <c r="A231" s="29" t="s">
        <v>12</v>
      </c>
      <c r="B231" s="30"/>
      <c r="C231" s="31">
        <f t="shared" ca="1" si="176"/>
        <v>0.1953189042023479</v>
      </c>
      <c r="D231" s="32" t="b">
        <f ca="1">AND(C231&gt;C229,C231&gt;C230)</f>
        <v>0</v>
      </c>
      <c r="E231" s="30" t="str">
        <f ca="1">IF(D231 = TRUE, IF(B228&lt;=$F$1, TRUE, FALSE), " ")</f>
        <v xml:space="preserve"> </v>
      </c>
      <c r="F231" s="30"/>
      <c r="G231" s="33">
        <f t="shared" ca="1" si="177"/>
        <v>0</v>
      </c>
      <c r="H231" s="33">
        <f t="shared" ca="1" si="178"/>
        <v>2</v>
      </c>
      <c r="I231" s="34">
        <f t="shared" ca="1" si="179"/>
        <v>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.75">
      <c r="A232" s="4"/>
      <c r="B232" s="4"/>
      <c r="C232" s="10"/>
      <c r="D232" s="4"/>
      <c r="E232" s="4"/>
      <c r="F232" s="4"/>
      <c r="G232" s="7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3.5" thickBot="1">
      <c r="A233" s="18"/>
      <c r="B233" s="4">
        <f ca="1">RAND()</f>
        <v>0.85557099671712211</v>
      </c>
      <c r="C233" s="10"/>
      <c r="D233" s="4"/>
      <c r="E233" s="4"/>
      <c r="F233" s="4"/>
      <c r="G233" s="7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.75">
      <c r="A234" s="20" t="s">
        <v>10</v>
      </c>
      <c r="B234" s="21"/>
      <c r="C234" s="22">
        <f t="shared" ref="C234:C236" ca="1" si="180">_xlfn.BETA.INV(RAND(),G229+1,H229+1)</f>
        <v>0.63951308338353741</v>
      </c>
      <c r="D234" s="23" t="b">
        <f ca="1">AND(C234&gt;C235,C234&gt;C236)</f>
        <v>0</v>
      </c>
      <c r="E234" s="21" t="str">
        <f ca="1">IF(D234 = TRUE, IF(B233&lt;=$B$1, TRUE, FALSE), " ")</f>
        <v xml:space="preserve"> </v>
      </c>
      <c r="F234" s="21"/>
      <c r="G234" s="24">
        <f t="shared" ref="G234:G236" ca="1" si="181">IF(AND(D234 = TRUE,E234 = TRUE), G229+1,G229)</f>
        <v>0</v>
      </c>
      <c r="H234" s="24">
        <f t="shared" ref="H234:H236" ca="1" si="182">IF(AND(D234 = TRUE, E234 = FALSE), H229+1,H229)</f>
        <v>3</v>
      </c>
      <c r="I234" s="25">
        <f t="shared" ref="I234:I236" ca="1" si="183">SUM(G234:H234)</f>
        <v>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.75">
      <c r="A235" s="26" t="s">
        <v>11</v>
      </c>
      <c r="B235" s="4"/>
      <c r="C235" s="10">
        <f t="shared" ca="1" si="180"/>
        <v>0.81861874334354989</v>
      </c>
      <c r="D235" s="27" t="b">
        <f ca="1">AND(C235&gt;C234,C235&gt;C236)</f>
        <v>1</v>
      </c>
      <c r="E235" s="4" t="b">
        <f ca="1">IF(D235 = TRUE, IF(B233&lt;=$D$1, TRUE, FALSE), " ")</f>
        <v>0</v>
      </c>
      <c r="F235" s="4"/>
      <c r="G235" s="13">
        <f t="shared" ca="1" si="181"/>
        <v>34</v>
      </c>
      <c r="H235" s="13">
        <f t="shared" ca="1" si="182"/>
        <v>7</v>
      </c>
      <c r="I235" s="28">
        <f t="shared" ca="1" si="183"/>
        <v>41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3.5" thickBot="1">
      <c r="A236" s="29" t="s">
        <v>12</v>
      </c>
      <c r="B236" s="30"/>
      <c r="C236" s="31">
        <f t="shared" ca="1" si="180"/>
        <v>0.17345706903316135</v>
      </c>
      <c r="D236" s="32" t="b">
        <f ca="1">AND(C236&gt;C234,C236&gt;C235)</f>
        <v>0</v>
      </c>
      <c r="E236" s="30" t="str">
        <f ca="1">IF(D236 = TRUE, IF(B233&lt;=$F$1, TRUE, FALSE), " ")</f>
        <v xml:space="preserve"> </v>
      </c>
      <c r="F236" s="30"/>
      <c r="G236" s="33">
        <f t="shared" ca="1" si="181"/>
        <v>0</v>
      </c>
      <c r="H236" s="33">
        <f t="shared" ca="1" si="182"/>
        <v>2</v>
      </c>
      <c r="I236" s="34">
        <f t="shared" ca="1" si="183"/>
        <v>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.75">
      <c r="A237" s="35"/>
      <c r="B237" s="4"/>
      <c r="C237" s="10"/>
      <c r="D237" s="4"/>
      <c r="E237" s="4"/>
      <c r="F237" s="4"/>
      <c r="G237" s="7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3.5" thickBot="1">
      <c r="A238" s="19"/>
      <c r="B238" s="4">
        <f ca="1">RAND()</f>
        <v>0.63880857809062286</v>
      </c>
      <c r="C238" s="10"/>
      <c r="D238" s="4"/>
      <c r="E238" s="4"/>
      <c r="F238" s="4"/>
      <c r="G238" s="7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.75">
      <c r="A239" s="20" t="s">
        <v>10</v>
      </c>
      <c r="B239" s="21"/>
      <c r="C239" s="22">
        <f t="shared" ref="C239:C241" ca="1" si="184">_xlfn.BETA.INV(RAND(),G234+1,H234+1)</f>
        <v>0.26173925620507998</v>
      </c>
      <c r="D239" s="23" t="b">
        <f ca="1">AND(C239&gt;C240,C239&gt;C241)</f>
        <v>0</v>
      </c>
      <c r="E239" s="21" t="str">
        <f ca="1">IF(D239 = TRUE, IF(B238&lt;=$B$1, TRUE, FALSE), " ")</f>
        <v xml:space="preserve"> </v>
      </c>
      <c r="F239" s="21"/>
      <c r="G239" s="24">
        <f t="shared" ref="G239:G241" ca="1" si="185">IF(AND(D239 = TRUE,E239 = TRUE), G234+1,G234)</f>
        <v>0</v>
      </c>
      <c r="H239" s="24">
        <f t="shared" ref="H239:H241" ca="1" si="186">IF(AND(D239 = TRUE, E239 = FALSE), H234+1,H234)</f>
        <v>3</v>
      </c>
      <c r="I239" s="25">
        <f t="shared" ref="I239:I241" ca="1" si="187">SUM(G239:H239)</f>
        <v>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.75">
      <c r="A240" s="26" t="s">
        <v>11</v>
      </c>
      <c r="B240" s="4"/>
      <c r="C240" s="10">
        <f t="shared" ca="1" si="184"/>
        <v>0.84966850829068363</v>
      </c>
      <c r="D240" s="27" t="b">
        <f ca="1">AND(C240&gt;C239,C240&gt;C241)</f>
        <v>1</v>
      </c>
      <c r="E240" s="4" t="b">
        <f ca="1">IF(D240 = TRUE, IF(B238&lt;=$D$1, TRUE, FALSE), " ")</f>
        <v>1</v>
      </c>
      <c r="F240" s="4"/>
      <c r="G240" s="13">
        <f t="shared" ca="1" si="185"/>
        <v>35</v>
      </c>
      <c r="H240" s="13">
        <f t="shared" ca="1" si="186"/>
        <v>7</v>
      </c>
      <c r="I240" s="28">
        <f t="shared" ca="1" si="187"/>
        <v>42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3.5" thickBot="1">
      <c r="A241" s="29" t="s">
        <v>12</v>
      </c>
      <c r="B241" s="30"/>
      <c r="C241" s="31">
        <f t="shared" ca="1" si="184"/>
        <v>0.16034185949846222</v>
      </c>
      <c r="D241" s="32" t="b">
        <f ca="1">AND(C241&gt;C239,C241&gt;C240)</f>
        <v>0</v>
      </c>
      <c r="E241" s="30" t="str">
        <f ca="1">IF(D241 = TRUE, IF(B238&lt;=$F$1, TRUE, FALSE), " ")</f>
        <v xml:space="preserve"> </v>
      </c>
      <c r="F241" s="30"/>
      <c r="G241" s="33">
        <f t="shared" ca="1" si="185"/>
        <v>0</v>
      </c>
      <c r="H241" s="33">
        <f t="shared" ca="1" si="186"/>
        <v>2</v>
      </c>
      <c r="I241" s="34">
        <f t="shared" ca="1" si="187"/>
        <v>2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.75">
      <c r="A242" s="35"/>
      <c r="B242" s="4"/>
      <c r="C242" s="10"/>
      <c r="D242" s="4"/>
      <c r="E242" s="4"/>
      <c r="F242" s="4"/>
      <c r="G242" s="7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3.5" thickBot="1">
      <c r="A243" s="35"/>
      <c r="B243" s="4">
        <f ca="1">RAND()</f>
        <v>0.39038070921201418</v>
      </c>
      <c r="C243" s="10"/>
      <c r="D243" s="4"/>
      <c r="E243" s="4"/>
      <c r="F243" s="4"/>
      <c r="G243" s="7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.75">
      <c r="A244" s="20" t="s">
        <v>10</v>
      </c>
      <c r="B244" s="21"/>
      <c r="C244" s="22">
        <f t="shared" ref="C244:C246" ca="1" si="188">_xlfn.BETA.INV(RAND(),G239+1,H239+1)</f>
        <v>0.14339646219636104</v>
      </c>
      <c r="D244" s="23" t="b">
        <f ca="1">AND(C244&gt;C245,C244&gt;C246)</f>
        <v>0</v>
      </c>
      <c r="E244" s="21" t="str">
        <f ca="1">IF(D244 = TRUE, IF(B243&lt;=$B$1, TRUE, FALSE), " ")</f>
        <v xml:space="preserve"> </v>
      </c>
      <c r="F244" s="21"/>
      <c r="G244" s="24">
        <f t="shared" ref="G244:G246" ca="1" si="189">IF(AND(D244 = TRUE,E244 = TRUE), G239+1,G239)</f>
        <v>0</v>
      </c>
      <c r="H244" s="24">
        <f t="shared" ref="H244:H246" ca="1" si="190">IF(AND(D244 = TRUE, E244 = FALSE), H239+1,H239)</f>
        <v>3</v>
      </c>
      <c r="I244" s="25">
        <f t="shared" ref="I244:I246" ca="1" si="191">SUM(G244:H244)</f>
        <v>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.75">
      <c r="A245" s="26" t="s">
        <v>11</v>
      </c>
      <c r="B245" s="4"/>
      <c r="C245" s="10">
        <f t="shared" ca="1" si="188"/>
        <v>0.75359066412908804</v>
      </c>
      <c r="D245" s="27" t="b">
        <f ca="1">AND(C245&gt;C244,C245&gt;C246)</f>
        <v>1</v>
      </c>
      <c r="E245" s="4" t="b">
        <f ca="1">IF(D245 = TRUE, IF(B243&lt;=$D$1, TRUE, FALSE), " ")</f>
        <v>1</v>
      </c>
      <c r="F245" s="4"/>
      <c r="G245" s="13">
        <f t="shared" ca="1" si="189"/>
        <v>36</v>
      </c>
      <c r="H245" s="13">
        <f t="shared" ca="1" si="190"/>
        <v>7</v>
      </c>
      <c r="I245" s="28">
        <f t="shared" ca="1" si="191"/>
        <v>43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3.5" thickBot="1">
      <c r="A246" s="29" t="s">
        <v>12</v>
      </c>
      <c r="B246" s="30"/>
      <c r="C246" s="31">
        <f t="shared" ca="1" si="188"/>
        <v>0.5337051872979417</v>
      </c>
      <c r="D246" s="32" t="b">
        <f ca="1">AND(C246&gt;C244,C246&gt;C245)</f>
        <v>0</v>
      </c>
      <c r="E246" s="30" t="str">
        <f ca="1">IF(D246 = TRUE, IF(B243&lt;=$F$1, TRUE, FALSE), " ")</f>
        <v xml:space="preserve"> </v>
      </c>
      <c r="F246" s="30"/>
      <c r="G246" s="33">
        <f t="shared" ca="1" si="189"/>
        <v>0</v>
      </c>
      <c r="H246" s="33">
        <f t="shared" ca="1" si="190"/>
        <v>2</v>
      </c>
      <c r="I246" s="34">
        <f t="shared" ca="1" si="191"/>
        <v>2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.75">
      <c r="A247" s="4"/>
      <c r="B247" s="4"/>
      <c r="C247" s="10"/>
      <c r="D247" s="4"/>
      <c r="E247" s="4"/>
      <c r="F247" s="4"/>
      <c r="G247" s="7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3.5" thickBot="1">
      <c r="A248" s="4"/>
      <c r="B248" s="4">
        <f ca="1">RAND()</f>
        <v>0.15827022240834021</v>
      </c>
      <c r="C248" s="10"/>
      <c r="D248" s="4"/>
      <c r="E248" s="4"/>
      <c r="F248" s="4"/>
      <c r="G248" s="7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.75">
      <c r="A249" s="20" t="s">
        <v>10</v>
      </c>
      <c r="B249" s="21"/>
      <c r="C249" s="22">
        <f t="shared" ref="C249:C251" ca="1" si="192">_xlfn.BETA.INV(RAND(),G244+1,H244+1)</f>
        <v>9.526703682489672E-2</v>
      </c>
      <c r="D249" s="23" t="b">
        <f ca="1">AND(C249&gt;C250,C249&gt;C251)</f>
        <v>0</v>
      </c>
      <c r="E249" s="21" t="str">
        <f ca="1">IF(D249 = TRUE, IF(B248&lt;=$B$1, TRUE, FALSE), " ")</f>
        <v xml:space="preserve"> </v>
      </c>
      <c r="F249" s="21"/>
      <c r="G249" s="24">
        <f t="shared" ref="G249:G251" ca="1" si="193">IF(AND(D249 = TRUE,E249 = TRUE), G244+1,G244)</f>
        <v>0</v>
      </c>
      <c r="H249" s="24">
        <f t="shared" ref="H249:H251" ca="1" si="194">IF(AND(D249 = TRUE, E249 = FALSE), H244+1,H244)</f>
        <v>3</v>
      </c>
      <c r="I249" s="25">
        <f t="shared" ref="I249:I251" ca="1" si="195">SUM(G249:H249)</f>
        <v>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.75">
      <c r="A250" s="26" t="s">
        <v>11</v>
      </c>
      <c r="B250" s="4"/>
      <c r="C250" s="10">
        <f t="shared" ca="1" si="192"/>
        <v>0.79061837509847699</v>
      </c>
      <c r="D250" s="27" t="b">
        <f ca="1">AND(C250&gt;C249,C250&gt;C251)</f>
        <v>1</v>
      </c>
      <c r="E250" s="4" t="b">
        <f ca="1">IF(D250 = TRUE, IF(B248&lt;=$D$1, TRUE, FALSE), " ")</f>
        <v>1</v>
      </c>
      <c r="F250" s="4"/>
      <c r="G250" s="13">
        <f t="shared" ca="1" si="193"/>
        <v>37</v>
      </c>
      <c r="H250" s="13">
        <f t="shared" ca="1" si="194"/>
        <v>7</v>
      </c>
      <c r="I250" s="28">
        <f t="shared" ca="1" si="195"/>
        <v>44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3.5" thickBot="1">
      <c r="A251" s="29" t="s">
        <v>12</v>
      </c>
      <c r="B251" s="30"/>
      <c r="C251" s="31">
        <f t="shared" ca="1" si="192"/>
        <v>0.41201479996331758</v>
      </c>
      <c r="D251" s="32" t="b">
        <f ca="1">AND(C251&gt;C249,C251&gt;C250)</f>
        <v>0</v>
      </c>
      <c r="E251" s="30" t="str">
        <f ca="1">IF(D251 = TRUE, IF(B248&lt;=$F$1, TRUE, FALSE), " ")</f>
        <v xml:space="preserve"> </v>
      </c>
      <c r="F251" s="30"/>
      <c r="G251" s="33">
        <f t="shared" ca="1" si="193"/>
        <v>0</v>
      </c>
      <c r="H251" s="33">
        <f t="shared" ca="1" si="194"/>
        <v>2</v>
      </c>
      <c r="I251" s="34">
        <f t="shared" ca="1" si="195"/>
        <v>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.75">
      <c r="A252" s="35"/>
      <c r="B252" s="4"/>
      <c r="C252" s="10"/>
      <c r="D252" s="4"/>
      <c r="E252" s="4"/>
      <c r="F252" s="4"/>
      <c r="G252" s="7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3.5" thickBot="1">
      <c r="A253" s="35"/>
      <c r="B253" s="4">
        <f ca="1">RAND()</f>
        <v>0.84961354438079473</v>
      </c>
      <c r="C253" s="10"/>
      <c r="D253" s="4"/>
      <c r="E253" s="4"/>
      <c r="F253" s="4"/>
      <c r="G253" s="7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.75">
      <c r="A254" s="20" t="s">
        <v>10</v>
      </c>
      <c r="B254" s="21"/>
      <c r="C254" s="22">
        <f t="shared" ref="C254:C256" ca="1" si="196">_xlfn.BETA.INV(RAND(),G249+1,H249+1)</f>
        <v>0.30386225341175854</v>
      </c>
      <c r="D254" s="23" t="b">
        <f ca="1">AND(C254&gt;C255,C254&gt;C256)</f>
        <v>0</v>
      </c>
      <c r="E254" s="21" t="str">
        <f ca="1">IF(D254 = TRUE, IF(B253&lt;=$B$1, TRUE, FALSE), " ")</f>
        <v xml:space="preserve"> </v>
      </c>
      <c r="F254" s="21"/>
      <c r="G254" s="24">
        <f t="shared" ref="G254:G256" ca="1" si="197">IF(AND(D254 = TRUE,E254 = TRUE), G249+1,G249)</f>
        <v>0</v>
      </c>
      <c r="H254" s="24">
        <f t="shared" ref="H254:H256" ca="1" si="198">IF(AND(D254 = TRUE, E254 = FALSE), H249+1,H249)</f>
        <v>3</v>
      </c>
      <c r="I254" s="25">
        <f t="shared" ref="I254:I256" ca="1" si="199">SUM(G254:H254)</f>
        <v>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.75">
      <c r="A255" s="26" t="s">
        <v>11</v>
      </c>
      <c r="B255" s="4"/>
      <c r="C255" s="10">
        <f t="shared" ca="1" si="196"/>
        <v>0.89514080609980429</v>
      </c>
      <c r="D255" s="27" t="b">
        <f ca="1">AND(C255&gt;C254,C255&gt;C256)</f>
        <v>1</v>
      </c>
      <c r="E255" s="4" t="b">
        <f ca="1">IF(D255 = TRUE, IF(B253&lt;=$D$1, TRUE, FALSE), " ")</f>
        <v>0</v>
      </c>
      <c r="F255" s="4"/>
      <c r="G255" s="13">
        <f t="shared" ca="1" si="197"/>
        <v>37</v>
      </c>
      <c r="H255" s="13">
        <f t="shared" ca="1" si="198"/>
        <v>8</v>
      </c>
      <c r="I255" s="28">
        <f t="shared" ca="1" si="199"/>
        <v>45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3.5" thickBot="1">
      <c r="A256" s="29" t="s">
        <v>12</v>
      </c>
      <c r="B256" s="30"/>
      <c r="C256" s="31">
        <f t="shared" ca="1" si="196"/>
        <v>5.6982865545851538E-2</v>
      </c>
      <c r="D256" s="32" t="b">
        <f ca="1">AND(C256&gt;C254,C256&gt;C255)</f>
        <v>0</v>
      </c>
      <c r="E256" s="30" t="str">
        <f ca="1">IF(D256 = TRUE, IF(B253&lt;=$F$1, TRUE, FALSE), " ")</f>
        <v xml:space="preserve"> </v>
      </c>
      <c r="F256" s="30"/>
      <c r="G256" s="33">
        <f t="shared" ca="1" si="197"/>
        <v>0</v>
      </c>
      <c r="H256" s="33">
        <f t="shared" ca="1" si="198"/>
        <v>2</v>
      </c>
      <c r="I256" s="34">
        <f t="shared" ca="1" si="199"/>
        <v>2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.75">
      <c r="A257" s="35"/>
      <c r="B257" s="4"/>
      <c r="C257" s="10"/>
      <c r="D257" s="4"/>
      <c r="E257" s="4"/>
      <c r="F257" s="4"/>
      <c r="G257" s="7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3.5" thickBot="1">
      <c r="A258" s="35"/>
      <c r="B258" s="4">
        <f ca="1">RAND()</f>
        <v>0.51202121112905874</v>
      </c>
      <c r="C258" s="10"/>
      <c r="D258" s="4"/>
      <c r="E258" s="4"/>
      <c r="F258" s="4"/>
      <c r="G258" s="7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.75">
      <c r="A259" s="20" t="s">
        <v>10</v>
      </c>
      <c r="B259" s="21"/>
      <c r="C259" s="22">
        <f t="shared" ref="C259:C261" ca="1" si="200">_xlfn.BETA.INV(RAND(),G254+1,H254+1)</f>
        <v>1.2829130979262136E-2</v>
      </c>
      <c r="D259" s="23" t="b">
        <f ca="1">AND(C259&gt;C260,C259&gt;C261)</f>
        <v>0</v>
      </c>
      <c r="E259" s="21" t="str">
        <f ca="1">IF(D259 = TRUE, IF(B258&lt;=$B$1, TRUE, FALSE), " ")</f>
        <v xml:space="preserve"> </v>
      </c>
      <c r="F259" s="21"/>
      <c r="G259" s="24">
        <f t="shared" ref="G259:G261" ca="1" si="201">IF(AND(D259 = TRUE,E259 = TRUE), G254+1,G254)</f>
        <v>0</v>
      </c>
      <c r="H259" s="24">
        <f t="shared" ref="H259:H261" ca="1" si="202">IF(AND(D259 = TRUE, E259 = FALSE), H254+1,H254)</f>
        <v>3</v>
      </c>
      <c r="I259" s="25">
        <f t="shared" ref="I259:I261" ca="1" si="203">SUM(G259:H259)</f>
        <v>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.75">
      <c r="A260" s="26" t="s">
        <v>11</v>
      </c>
      <c r="B260" s="4"/>
      <c r="C260" s="10">
        <f t="shared" ca="1" si="200"/>
        <v>0.83313775728879491</v>
      </c>
      <c r="D260" s="27" t="b">
        <f ca="1">AND(C260&gt;C259,C260&gt;C261)</f>
        <v>1</v>
      </c>
      <c r="E260" s="4" t="b">
        <f ca="1">IF(D260 = TRUE, IF(B258&lt;=$D$1, TRUE, FALSE), " ")</f>
        <v>1</v>
      </c>
      <c r="F260" s="4"/>
      <c r="G260" s="13">
        <f t="shared" ca="1" si="201"/>
        <v>38</v>
      </c>
      <c r="H260" s="13">
        <f t="shared" ca="1" si="202"/>
        <v>8</v>
      </c>
      <c r="I260" s="28">
        <f t="shared" ca="1" si="203"/>
        <v>46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3.5" thickBot="1">
      <c r="A261" s="29" t="s">
        <v>12</v>
      </c>
      <c r="B261" s="30"/>
      <c r="C261" s="31">
        <f t="shared" ca="1" si="200"/>
        <v>0.35152956469232566</v>
      </c>
      <c r="D261" s="32" t="b">
        <f ca="1">AND(C261&gt;C259,C261&gt;C260)</f>
        <v>0</v>
      </c>
      <c r="E261" s="30" t="str">
        <f ca="1">IF(D261 = TRUE, IF(B258&lt;=$F$1, TRUE, FALSE), " ")</f>
        <v xml:space="preserve"> </v>
      </c>
      <c r="F261" s="30"/>
      <c r="G261" s="33">
        <f t="shared" ca="1" si="201"/>
        <v>0</v>
      </c>
      <c r="H261" s="33">
        <f t="shared" ca="1" si="202"/>
        <v>2</v>
      </c>
      <c r="I261" s="34">
        <f t="shared" ca="1" si="203"/>
        <v>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.75">
      <c r="A262" s="4"/>
      <c r="B262" s="4"/>
      <c r="C262" s="10"/>
      <c r="D262" s="4"/>
      <c r="E262" s="4"/>
      <c r="F262" s="4"/>
      <c r="G262" s="7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3.5" thickBot="1">
      <c r="A263" s="4"/>
      <c r="B263" s="4">
        <f ca="1">RAND()</f>
        <v>0.82308987368761588</v>
      </c>
      <c r="C263" s="10"/>
      <c r="D263" s="4"/>
      <c r="E263" s="4"/>
      <c r="F263" s="4"/>
      <c r="G263" s="7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.75">
      <c r="A264" s="20" t="s">
        <v>10</v>
      </c>
      <c r="B264" s="21"/>
      <c r="C264" s="22">
        <f t="shared" ref="C264:C266" ca="1" si="204">_xlfn.BETA.INV(RAND(),G259+1,H259+1)</f>
        <v>0.2473558502640778</v>
      </c>
      <c r="D264" s="23" t="b">
        <f ca="1">AND(C264&gt;C265,C264&gt;C266)</f>
        <v>0</v>
      </c>
      <c r="E264" s="21" t="str">
        <f ca="1">IF(D264 = TRUE, IF(B263&lt;=$B$1, TRUE, FALSE), " ")</f>
        <v xml:space="preserve"> </v>
      </c>
      <c r="F264" s="21"/>
      <c r="G264" s="24">
        <f t="shared" ref="G264:G266" ca="1" si="205">IF(AND(D264 = TRUE,E264 = TRUE), G259+1,G259)</f>
        <v>0</v>
      </c>
      <c r="H264" s="24">
        <f t="shared" ref="H264:H266" ca="1" si="206">IF(AND(D264 = TRUE, E264 = FALSE), H259+1,H259)</f>
        <v>3</v>
      </c>
      <c r="I264" s="25">
        <f t="shared" ref="I264:I266" ca="1" si="207">SUM(G264:H264)</f>
        <v>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.75">
      <c r="A265" s="26" t="s">
        <v>11</v>
      </c>
      <c r="B265" s="4"/>
      <c r="C265" s="10">
        <f t="shared" ca="1" si="204"/>
        <v>0.83311540512724991</v>
      </c>
      <c r="D265" s="27" t="b">
        <f ca="1">AND(C265&gt;C264,C265&gt;C266)</f>
        <v>1</v>
      </c>
      <c r="E265" s="4" t="b">
        <f ca="1">IF(D265 = TRUE, IF(B263&lt;=$D$1, TRUE, FALSE), " ")</f>
        <v>0</v>
      </c>
      <c r="F265" s="4"/>
      <c r="G265" s="13">
        <f t="shared" ca="1" si="205"/>
        <v>38</v>
      </c>
      <c r="H265" s="13">
        <f t="shared" ca="1" si="206"/>
        <v>9</v>
      </c>
      <c r="I265" s="28">
        <f t="shared" ca="1" si="207"/>
        <v>47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3.5" thickBot="1">
      <c r="A266" s="29" t="s">
        <v>12</v>
      </c>
      <c r="B266" s="30"/>
      <c r="C266" s="31">
        <f t="shared" ca="1" si="204"/>
        <v>6.258196498570151E-4</v>
      </c>
      <c r="D266" s="32" t="b">
        <f ca="1">AND(C266&gt;C264,C266&gt;C265)</f>
        <v>0</v>
      </c>
      <c r="E266" s="30" t="str">
        <f ca="1">IF(D266 = TRUE, IF(B263&lt;=$F$1, TRUE, FALSE), " ")</f>
        <v xml:space="preserve"> </v>
      </c>
      <c r="F266" s="30"/>
      <c r="G266" s="33">
        <f t="shared" ca="1" si="205"/>
        <v>0</v>
      </c>
      <c r="H266" s="33">
        <f t="shared" ca="1" si="206"/>
        <v>2</v>
      </c>
      <c r="I266" s="34">
        <f t="shared" ca="1" si="207"/>
        <v>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.75">
      <c r="A267" s="35"/>
      <c r="B267" s="4"/>
      <c r="C267" s="10"/>
      <c r="D267" s="4"/>
      <c r="E267" s="4"/>
      <c r="F267" s="4"/>
      <c r="G267" s="7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3.5" thickBot="1">
      <c r="A268" s="35"/>
      <c r="B268" s="4">
        <f ca="1">RAND()</f>
        <v>8.4750037476422402E-2</v>
      </c>
      <c r="C268" s="10"/>
      <c r="D268" s="4"/>
      <c r="E268" s="4"/>
      <c r="F268" s="4"/>
      <c r="G268" s="7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.75">
      <c r="A269" s="20" t="s">
        <v>10</v>
      </c>
      <c r="B269" s="21"/>
      <c r="C269" s="22">
        <f t="shared" ref="C269:C271" ca="1" si="208">_xlfn.BETA.INV(RAND(),G264+1,H264+1)</f>
        <v>0.2237667584270524</v>
      </c>
      <c r="D269" s="23" t="b">
        <f ca="1">AND(C269&gt;C270,C269&gt;C271)</f>
        <v>0</v>
      </c>
      <c r="E269" s="21" t="str">
        <f ca="1">IF(D269 = TRUE, IF(B268&lt;=$B$1, TRUE, FALSE), " ")</f>
        <v xml:space="preserve"> </v>
      </c>
      <c r="F269" s="21"/>
      <c r="G269" s="24">
        <f t="shared" ref="G269:G271" ca="1" si="209">IF(AND(D269 = TRUE,E269 = TRUE), G264+1,G264)</f>
        <v>0</v>
      </c>
      <c r="H269" s="24">
        <f t="shared" ref="H269:H271" ca="1" si="210">IF(AND(D269 = TRUE, E269 = FALSE), H264+1,H264)</f>
        <v>3</v>
      </c>
      <c r="I269" s="25">
        <f t="shared" ref="I269:I271" ca="1" si="211">SUM(G269:H269)</f>
        <v>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.75">
      <c r="A270" s="26" t="s">
        <v>11</v>
      </c>
      <c r="B270" s="4"/>
      <c r="C270" s="10">
        <f t="shared" ca="1" si="208"/>
        <v>0.81931640855522769</v>
      </c>
      <c r="D270" s="27" t="b">
        <f ca="1">AND(C270&gt;C269,C270&gt;C271)</f>
        <v>1</v>
      </c>
      <c r="E270" s="4" t="b">
        <f ca="1">IF(D270 = TRUE, IF(B268&lt;=$D$1, TRUE, FALSE), " ")</f>
        <v>1</v>
      </c>
      <c r="F270" s="4"/>
      <c r="G270" s="13">
        <f t="shared" ca="1" si="209"/>
        <v>39</v>
      </c>
      <c r="H270" s="13">
        <f t="shared" ca="1" si="210"/>
        <v>9</v>
      </c>
      <c r="I270" s="28">
        <f t="shared" ca="1" si="211"/>
        <v>48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3.5" thickBot="1">
      <c r="A271" s="29" t="s">
        <v>12</v>
      </c>
      <c r="B271" s="30"/>
      <c r="C271" s="31">
        <f t="shared" ca="1" si="208"/>
        <v>0.20768122213336138</v>
      </c>
      <c r="D271" s="32" t="b">
        <f ca="1">AND(C271&gt;C269,C271&gt;C270)</f>
        <v>0</v>
      </c>
      <c r="E271" s="30" t="str">
        <f ca="1">IF(D271 = TRUE, IF(B268&lt;=$F$1, TRUE, FALSE), " ")</f>
        <v xml:space="preserve"> </v>
      </c>
      <c r="F271" s="30"/>
      <c r="G271" s="33">
        <f t="shared" ca="1" si="209"/>
        <v>0</v>
      </c>
      <c r="H271" s="33">
        <f t="shared" ca="1" si="210"/>
        <v>2</v>
      </c>
      <c r="I271" s="34">
        <f t="shared" ca="1" si="211"/>
        <v>2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.75">
      <c r="A272" s="35"/>
      <c r="B272" s="4"/>
      <c r="C272" s="10"/>
      <c r="D272" s="4"/>
      <c r="E272" s="4"/>
      <c r="F272" s="4"/>
      <c r="G272" s="7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3.5" thickBot="1">
      <c r="A273" s="35"/>
      <c r="B273" s="4">
        <f ca="1">RAND()</f>
        <v>0.45436777156337904</v>
      </c>
      <c r="C273" s="10"/>
      <c r="D273" s="4"/>
      <c r="E273" s="4"/>
      <c r="F273" s="4"/>
      <c r="G273" s="7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.75">
      <c r="A274" s="20" t="s">
        <v>10</v>
      </c>
      <c r="B274" s="21"/>
      <c r="C274" s="22">
        <f t="shared" ref="C274:C276" ca="1" si="212">_xlfn.BETA.INV(RAND(),G269+1,H269+1)</f>
        <v>8.9934339020793883E-2</v>
      </c>
      <c r="D274" s="23" t="b">
        <f ca="1">AND(C274&gt;C275,C274&gt;C276)</f>
        <v>0</v>
      </c>
      <c r="E274" s="21" t="str">
        <f ca="1">IF(D274 = TRUE, IF(B273&lt;=$B$1, TRUE, FALSE), " ")</f>
        <v xml:space="preserve"> </v>
      </c>
      <c r="F274" s="21"/>
      <c r="G274" s="24">
        <f t="shared" ref="G274:G276" ca="1" si="213">IF(AND(D274 = TRUE,E274 = TRUE), G269+1,G269)</f>
        <v>0</v>
      </c>
      <c r="H274" s="24">
        <f t="shared" ref="H274:H276" ca="1" si="214">IF(AND(D274 = TRUE, E274 = FALSE), H269+1,H269)</f>
        <v>3</v>
      </c>
      <c r="I274" s="25">
        <f t="shared" ref="I274:I276" ca="1" si="215">SUM(G274:H274)</f>
        <v>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2.75">
      <c r="A275" s="26" t="s">
        <v>11</v>
      </c>
      <c r="B275" s="4"/>
      <c r="C275" s="10">
        <f t="shared" ca="1" si="212"/>
        <v>0.85772997328708411</v>
      </c>
      <c r="D275" s="27" t="b">
        <f ca="1">AND(C275&gt;C274,C275&gt;C276)</f>
        <v>1</v>
      </c>
      <c r="E275" s="4" t="b">
        <f ca="1">IF(D275 = TRUE, IF(B273&lt;=$D$1, TRUE, FALSE), " ")</f>
        <v>1</v>
      </c>
      <c r="F275" s="4"/>
      <c r="G275" s="13">
        <f t="shared" ca="1" si="213"/>
        <v>40</v>
      </c>
      <c r="H275" s="13">
        <f t="shared" ca="1" si="214"/>
        <v>9</v>
      </c>
      <c r="I275" s="28">
        <f t="shared" ca="1" si="215"/>
        <v>49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3.5" thickBot="1">
      <c r="A276" s="29" t="s">
        <v>12</v>
      </c>
      <c r="B276" s="30"/>
      <c r="C276" s="31">
        <f t="shared" ca="1" si="212"/>
        <v>0.15210060436706488</v>
      </c>
      <c r="D276" s="32" t="b">
        <f ca="1">AND(C276&gt;C274,C276&gt;C275)</f>
        <v>0</v>
      </c>
      <c r="E276" s="30" t="str">
        <f ca="1">IF(D276 = TRUE, IF(B273&lt;=$F$1, TRUE, FALSE), " ")</f>
        <v xml:space="preserve"> </v>
      </c>
      <c r="F276" s="30"/>
      <c r="G276" s="33">
        <f t="shared" ca="1" si="213"/>
        <v>0</v>
      </c>
      <c r="H276" s="33">
        <f t="shared" ca="1" si="214"/>
        <v>2</v>
      </c>
      <c r="I276" s="34">
        <f t="shared" ca="1" si="215"/>
        <v>2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2.75">
      <c r="A277" s="4"/>
      <c r="B277" s="4"/>
      <c r="C277" s="10"/>
      <c r="D277" s="4"/>
      <c r="E277" s="4"/>
      <c r="F277" s="4"/>
      <c r="G277" s="7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3.5" thickBot="1">
      <c r="A278" s="4"/>
      <c r="B278" s="4">
        <f ca="1">RAND()</f>
        <v>0.11492234863754536</v>
      </c>
      <c r="C278" s="10"/>
      <c r="D278" s="4"/>
      <c r="E278" s="4"/>
      <c r="F278" s="4"/>
      <c r="G278" s="7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2.75">
      <c r="A279" s="20" t="s">
        <v>10</v>
      </c>
      <c r="B279" s="21"/>
      <c r="C279" s="22">
        <f t="shared" ref="C279:C281" ca="1" si="216">_xlfn.BETA.INV(RAND(),G274+1,H274+1)</f>
        <v>0.62106246257462372</v>
      </c>
      <c r="D279" s="23" t="b">
        <f ca="1">AND(C279&gt;C280,C279&gt;C281)</f>
        <v>0</v>
      </c>
      <c r="E279" s="21" t="str">
        <f ca="1">IF(D279 = TRUE, IF(B278&lt;=$B$1, TRUE, FALSE), " ")</f>
        <v xml:space="preserve"> </v>
      </c>
      <c r="F279" s="21"/>
      <c r="G279" s="24">
        <f t="shared" ref="G279:G281" ca="1" si="217">IF(AND(D279 = TRUE,E279 = TRUE), G274+1,G274)</f>
        <v>0</v>
      </c>
      <c r="H279" s="24">
        <f t="shared" ref="H279:H281" ca="1" si="218">IF(AND(D279 = TRUE, E279 = FALSE), H274+1,H274)</f>
        <v>3</v>
      </c>
      <c r="I279" s="25">
        <f t="shared" ref="I279:I281" ca="1" si="219">SUM(G279:H279)</f>
        <v>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2.75">
      <c r="A280" s="26" t="s">
        <v>11</v>
      </c>
      <c r="B280" s="4"/>
      <c r="C280" s="10">
        <f t="shared" ca="1" si="216"/>
        <v>0.79334979758412449</v>
      </c>
      <c r="D280" s="27" t="b">
        <f ca="1">AND(C280&gt;C279,C280&gt;C281)</f>
        <v>1</v>
      </c>
      <c r="E280" s="4" t="b">
        <f ca="1">IF(D280 = TRUE, IF(B278&lt;=$D$1, TRUE, FALSE), " ")</f>
        <v>1</v>
      </c>
      <c r="F280" s="4"/>
      <c r="G280" s="13">
        <f t="shared" ca="1" si="217"/>
        <v>41</v>
      </c>
      <c r="H280" s="13">
        <f t="shared" ca="1" si="218"/>
        <v>9</v>
      </c>
      <c r="I280" s="28">
        <f t="shared" ca="1" si="219"/>
        <v>50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3.5" thickBot="1">
      <c r="A281" s="29" t="s">
        <v>12</v>
      </c>
      <c r="B281" s="30"/>
      <c r="C281" s="31">
        <f t="shared" ca="1" si="216"/>
        <v>0.15051357079046843</v>
      </c>
      <c r="D281" s="32" t="b">
        <f ca="1">AND(C281&gt;C279,C281&gt;C280)</f>
        <v>0</v>
      </c>
      <c r="E281" s="30" t="str">
        <f ca="1">IF(D281 = TRUE, IF(B278&lt;=$F$1, TRUE, FALSE), " ")</f>
        <v xml:space="preserve"> </v>
      </c>
      <c r="F281" s="30"/>
      <c r="G281" s="33">
        <f t="shared" ca="1" si="217"/>
        <v>0</v>
      </c>
      <c r="H281" s="33">
        <f t="shared" ca="1" si="218"/>
        <v>2</v>
      </c>
      <c r="I281" s="34">
        <f t="shared" ca="1" si="219"/>
        <v>2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2.75">
      <c r="A282" s="35"/>
      <c r="B282" s="4"/>
      <c r="C282" s="10"/>
      <c r="D282" s="4"/>
      <c r="E282" s="4"/>
      <c r="F282" s="4"/>
      <c r="G282" s="7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3.5" thickBot="1">
      <c r="A283" s="35"/>
      <c r="B283" s="4">
        <f ca="1">RAND()</f>
        <v>0.3740314181790777</v>
      </c>
      <c r="C283" s="10"/>
      <c r="D283" s="4"/>
      <c r="E283" s="4"/>
      <c r="F283" s="4"/>
      <c r="G283" s="7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2.75">
      <c r="A284" s="20" t="s">
        <v>10</v>
      </c>
      <c r="B284" s="21"/>
      <c r="C284" s="22">
        <f t="shared" ref="C284:C286" ca="1" si="220">_xlfn.BETA.INV(RAND(),G279+1,H279+1)</f>
        <v>0.50622956028301691</v>
      </c>
      <c r="D284" s="23" t="b">
        <f ca="1">AND(C284&gt;C285,C284&gt;C286)</f>
        <v>0</v>
      </c>
      <c r="E284" s="21" t="str">
        <f ca="1">IF(D284 = TRUE, IF(B283&lt;=$B$1, TRUE, FALSE), " ")</f>
        <v xml:space="preserve"> </v>
      </c>
      <c r="F284" s="21"/>
      <c r="G284" s="24">
        <f t="shared" ref="G284:G286" ca="1" si="221">IF(AND(D284 = TRUE,E284 = TRUE), G279+1,G279)</f>
        <v>0</v>
      </c>
      <c r="H284" s="24">
        <f t="shared" ref="H284:H286" ca="1" si="222">IF(AND(D284 = TRUE, E284 = FALSE), H279+1,H279)</f>
        <v>3</v>
      </c>
      <c r="I284" s="25">
        <f t="shared" ref="I284:I286" ca="1" si="223">SUM(G284:H284)</f>
        <v>3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2.75">
      <c r="A285" s="26" t="s">
        <v>11</v>
      </c>
      <c r="B285" s="4"/>
      <c r="C285" s="10">
        <f t="shared" ca="1" si="220"/>
        <v>0.82228164162851314</v>
      </c>
      <c r="D285" s="27" t="b">
        <f ca="1">AND(C285&gt;C284,C285&gt;C286)</f>
        <v>1</v>
      </c>
      <c r="E285" s="4" t="b">
        <f ca="1">IF(D285 = TRUE, IF(B283&lt;=$D$1, TRUE, FALSE), " ")</f>
        <v>1</v>
      </c>
      <c r="F285" s="4"/>
      <c r="G285" s="13">
        <f t="shared" ca="1" si="221"/>
        <v>42</v>
      </c>
      <c r="H285" s="13">
        <f t="shared" ca="1" si="222"/>
        <v>9</v>
      </c>
      <c r="I285" s="28">
        <f t="shared" ca="1" si="223"/>
        <v>51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3.5" thickBot="1">
      <c r="A286" s="29" t="s">
        <v>12</v>
      </c>
      <c r="B286" s="30"/>
      <c r="C286" s="31">
        <f t="shared" ca="1" si="220"/>
        <v>4.6107797802800561E-2</v>
      </c>
      <c r="D286" s="32" t="b">
        <f ca="1">AND(C286&gt;C284,C286&gt;C285)</f>
        <v>0</v>
      </c>
      <c r="E286" s="30" t="str">
        <f ca="1">IF(D286 = TRUE, IF(B283&lt;=$F$1, TRUE, FALSE), " ")</f>
        <v xml:space="preserve"> </v>
      </c>
      <c r="F286" s="30"/>
      <c r="G286" s="33">
        <f t="shared" ca="1" si="221"/>
        <v>0</v>
      </c>
      <c r="H286" s="33">
        <f t="shared" ca="1" si="222"/>
        <v>2</v>
      </c>
      <c r="I286" s="34">
        <f t="shared" ca="1" si="223"/>
        <v>2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2.75">
      <c r="A287" s="35"/>
      <c r="B287" s="4"/>
      <c r="C287" s="10"/>
      <c r="D287" s="4"/>
      <c r="E287" s="4"/>
      <c r="F287" s="4"/>
      <c r="G287" s="7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3.5" thickBot="1">
      <c r="A288" s="35"/>
      <c r="B288" s="4">
        <f ca="1">RAND()</f>
        <v>0.25180536811330501</v>
      </c>
      <c r="C288" s="10"/>
      <c r="D288" s="4"/>
      <c r="E288" s="4"/>
      <c r="F288" s="4"/>
      <c r="G288" s="7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2.75">
      <c r="A289" s="20" t="s">
        <v>10</v>
      </c>
      <c r="B289" s="21"/>
      <c r="C289" s="22">
        <f t="shared" ref="C289:C291" ca="1" si="224">_xlfn.BETA.INV(RAND(),G284+1,H284+1)</f>
        <v>0.22419547200310153</v>
      </c>
      <c r="D289" s="23" t="b">
        <f ca="1">AND(C289&gt;C290,C289&gt;C291)</f>
        <v>0</v>
      </c>
      <c r="E289" s="21" t="str">
        <f ca="1">IF(D289 = TRUE, IF(B288&lt;=$B$1, TRUE, FALSE), " ")</f>
        <v xml:space="preserve"> </v>
      </c>
      <c r="F289" s="21"/>
      <c r="G289" s="24">
        <f t="shared" ref="G289:G291" ca="1" si="225">IF(AND(D289 = TRUE,E289 = TRUE), G284+1,G284)</f>
        <v>0</v>
      </c>
      <c r="H289" s="24">
        <f t="shared" ref="H289:H291" ca="1" si="226">IF(AND(D289 = TRUE, E289 = FALSE), H284+1,H284)</f>
        <v>3</v>
      </c>
      <c r="I289" s="25">
        <f t="shared" ref="I289:I291" ca="1" si="227">SUM(G289:H289)</f>
        <v>3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2.75">
      <c r="A290" s="26" t="s">
        <v>11</v>
      </c>
      <c r="B290" s="4"/>
      <c r="C290" s="10">
        <f t="shared" ca="1" si="224"/>
        <v>0.79701098667701165</v>
      </c>
      <c r="D290" s="27" t="b">
        <f ca="1">AND(C290&gt;C289,C290&gt;C291)</f>
        <v>1</v>
      </c>
      <c r="E290" s="4" t="b">
        <f ca="1">IF(D290 = TRUE, IF(B288&lt;=$D$1, TRUE, FALSE), " ")</f>
        <v>1</v>
      </c>
      <c r="F290" s="4"/>
      <c r="G290" s="13">
        <f t="shared" ca="1" si="225"/>
        <v>43</v>
      </c>
      <c r="H290" s="13">
        <f t="shared" ca="1" si="226"/>
        <v>9</v>
      </c>
      <c r="I290" s="28">
        <f t="shared" ca="1" si="227"/>
        <v>52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3.5" thickBot="1">
      <c r="A291" s="29" t="s">
        <v>12</v>
      </c>
      <c r="B291" s="30"/>
      <c r="C291" s="31">
        <f t="shared" ca="1" si="224"/>
        <v>0.21173105131337189</v>
      </c>
      <c r="D291" s="32" t="b">
        <f ca="1">AND(C291&gt;C289,C291&gt;C290)</f>
        <v>0</v>
      </c>
      <c r="E291" s="30" t="str">
        <f ca="1">IF(D291 = TRUE, IF(B288&lt;=$F$1, TRUE, FALSE), " ")</f>
        <v xml:space="preserve"> </v>
      </c>
      <c r="F291" s="30"/>
      <c r="G291" s="33">
        <f t="shared" ca="1" si="225"/>
        <v>0</v>
      </c>
      <c r="H291" s="33">
        <f t="shared" ca="1" si="226"/>
        <v>2</v>
      </c>
      <c r="I291" s="34">
        <f t="shared" ca="1" si="227"/>
        <v>2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2.75">
      <c r="A292" s="4"/>
      <c r="B292" s="4"/>
      <c r="C292" s="10"/>
      <c r="D292" s="4"/>
      <c r="E292" s="4"/>
      <c r="F292" s="4"/>
      <c r="G292" s="7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3.5" thickBot="1">
      <c r="A293" s="4"/>
      <c r="B293" s="4">
        <f ca="1">RAND()</f>
        <v>0.28229644558732359</v>
      </c>
      <c r="C293" s="10"/>
      <c r="D293" s="4"/>
      <c r="E293" s="4"/>
      <c r="F293" s="4"/>
      <c r="G293" s="7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2.75">
      <c r="A294" s="20" t="s">
        <v>10</v>
      </c>
      <c r="B294" s="21"/>
      <c r="C294" s="22">
        <f t="shared" ref="C294:C296" ca="1" si="228">_xlfn.BETA.INV(RAND(),G289+1,H289+1)</f>
        <v>9.9475070521232833E-2</v>
      </c>
      <c r="D294" s="23" t="b">
        <f ca="1">AND(C294&gt;C295,C294&gt;C296)</f>
        <v>0</v>
      </c>
      <c r="E294" s="21" t="str">
        <f ca="1">IF(D294 = TRUE, IF(B293&lt;=$B$1, TRUE, FALSE), " ")</f>
        <v xml:space="preserve"> </v>
      </c>
      <c r="F294" s="21"/>
      <c r="G294" s="24">
        <f t="shared" ref="G294:G296" ca="1" si="229">IF(AND(D294 = TRUE,E294 = TRUE), G289+1,G289)</f>
        <v>0</v>
      </c>
      <c r="H294" s="24">
        <f t="shared" ref="H294:H296" ca="1" si="230">IF(AND(D294 = TRUE, E294 = FALSE), H289+1,H289)</f>
        <v>3</v>
      </c>
      <c r="I294" s="25">
        <f t="shared" ref="I294:I296" ca="1" si="231">SUM(G294:H294)</f>
        <v>3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2.75">
      <c r="A295" s="26" t="s">
        <v>11</v>
      </c>
      <c r="B295" s="4"/>
      <c r="C295" s="10">
        <f t="shared" ca="1" si="228"/>
        <v>0.79863109299517587</v>
      </c>
      <c r="D295" s="27" t="b">
        <f ca="1">AND(C295&gt;C294,C295&gt;C296)</f>
        <v>1</v>
      </c>
      <c r="E295" s="4" t="b">
        <f ca="1">IF(D295 = TRUE, IF(B293&lt;=$D$1, TRUE, FALSE), " ")</f>
        <v>1</v>
      </c>
      <c r="F295" s="4"/>
      <c r="G295" s="13">
        <f t="shared" ca="1" si="229"/>
        <v>44</v>
      </c>
      <c r="H295" s="13">
        <f t="shared" ca="1" si="230"/>
        <v>9</v>
      </c>
      <c r="I295" s="28">
        <f t="shared" ca="1" si="231"/>
        <v>53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3.5" thickBot="1">
      <c r="A296" s="29" t="s">
        <v>12</v>
      </c>
      <c r="B296" s="30"/>
      <c r="C296" s="31">
        <f t="shared" ca="1" si="228"/>
        <v>0.30156751109091307</v>
      </c>
      <c r="D296" s="32" t="b">
        <f ca="1">AND(C296&gt;C294,C296&gt;C295)</f>
        <v>0</v>
      </c>
      <c r="E296" s="30" t="str">
        <f ca="1">IF(D296 = TRUE, IF(B293&lt;=$F$1, TRUE, FALSE), " ")</f>
        <v xml:space="preserve"> </v>
      </c>
      <c r="F296" s="30"/>
      <c r="G296" s="33">
        <f t="shared" ca="1" si="229"/>
        <v>0</v>
      </c>
      <c r="H296" s="33">
        <f t="shared" ca="1" si="230"/>
        <v>2</v>
      </c>
      <c r="I296" s="34">
        <f t="shared" ca="1" si="231"/>
        <v>2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2.75">
      <c r="A297" s="35"/>
      <c r="B297" s="4"/>
      <c r="C297" s="10"/>
      <c r="D297" s="4"/>
      <c r="E297" s="4"/>
      <c r="F297" s="4"/>
      <c r="G297" s="7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3.5" thickBot="1">
      <c r="A298" s="35"/>
      <c r="B298" s="4">
        <f ca="1">RAND()</f>
        <v>0.97664226691534062</v>
      </c>
      <c r="C298" s="10"/>
      <c r="D298" s="4"/>
      <c r="E298" s="4"/>
      <c r="F298" s="4"/>
      <c r="G298" s="7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2.75">
      <c r="A299" s="20" t="s">
        <v>10</v>
      </c>
      <c r="B299" s="21"/>
      <c r="C299" s="22">
        <f t="shared" ref="C299:C301" ca="1" si="232">_xlfn.BETA.INV(RAND(),G294+1,H294+1)</f>
        <v>4.3834577303267452E-2</v>
      </c>
      <c r="D299" s="23" t="b">
        <f ca="1">AND(C299&gt;C300,C299&gt;C301)</f>
        <v>0</v>
      </c>
      <c r="E299" s="21" t="str">
        <f ca="1">IF(D299 = TRUE, IF(B298&lt;=$B$1, TRUE, FALSE), " ")</f>
        <v xml:space="preserve"> </v>
      </c>
      <c r="F299" s="21"/>
      <c r="G299" s="24">
        <f t="shared" ref="G299:G301" ca="1" si="233">IF(AND(D299 = TRUE,E299 = TRUE), G294+1,G294)</f>
        <v>0</v>
      </c>
      <c r="H299" s="24">
        <f t="shared" ref="H299:H301" ca="1" si="234">IF(AND(D299 = TRUE, E299 = FALSE), H294+1,H294)</f>
        <v>3</v>
      </c>
      <c r="I299" s="25">
        <f t="shared" ref="I299:I301" ca="1" si="235">SUM(G299:H299)</f>
        <v>3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2.75">
      <c r="A300" s="26" t="s">
        <v>11</v>
      </c>
      <c r="B300" s="4"/>
      <c r="C300" s="10">
        <f t="shared" ca="1" si="232"/>
        <v>0.83030814851125823</v>
      </c>
      <c r="D300" s="27" t="b">
        <f ca="1">AND(C300&gt;C299,C300&gt;C301)</f>
        <v>1</v>
      </c>
      <c r="E300" s="4" t="b">
        <f ca="1">IF(D300 = TRUE, IF(B298&lt;=$D$1, TRUE, FALSE), " ")</f>
        <v>0</v>
      </c>
      <c r="F300" s="4"/>
      <c r="G300" s="13">
        <f t="shared" ca="1" si="233"/>
        <v>44</v>
      </c>
      <c r="H300" s="13">
        <f t="shared" ca="1" si="234"/>
        <v>10</v>
      </c>
      <c r="I300" s="28">
        <f t="shared" ca="1" si="235"/>
        <v>54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3.5" thickBot="1">
      <c r="A301" s="29" t="s">
        <v>12</v>
      </c>
      <c r="B301" s="30"/>
      <c r="C301" s="31">
        <f t="shared" ca="1" si="232"/>
        <v>0.10728665573789575</v>
      </c>
      <c r="D301" s="32" t="b">
        <f ca="1">AND(C301&gt;C299,C301&gt;C300)</f>
        <v>0</v>
      </c>
      <c r="E301" s="30" t="str">
        <f ca="1">IF(D301 = TRUE, IF(B298&lt;=$F$1, TRUE, FALSE), " ")</f>
        <v xml:space="preserve"> </v>
      </c>
      <c r="F301" s="30"/>
      <c r="G301" s="33">
        <f t="shared" ca="1" si="233"/>
        <v>0</v>
      </c>
      <c r="H301" s="33">
        <f t="shared" ca="1" si="234"/>
        <v>2</v>
      </c>
      <c r="I301" s="34">
        <f t="shared" ca="1" si="235"/>
        <v>2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2.75">
      <c r="A302" s="35"/>
      <c r="B302" s="4"/>
      <c r="C302" s="10"/>
      <c r="D302" s="4"/>
      <c r="E302" s="4"/>
      <c r="F302" s="4"/>
      <c r="G302" s="7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3.5" thickBot="1">
      <c r="A303" s="35"/>
      <c r="B303" s="4">
        <f ca="1">RAND()</f>
        <v>0.54677926649592634</v>
      </c>
      <c r="C303" s="10"/>
      <c r="D303" s="4"/>
      <c r="E303" s="4"/>
      <c r="F303" s="4"/>
      <c r="G303" s="7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2.75">
      <c r="A304" s="20" t="s">
        <v>10</v>
      </c>
      <c r="B304" s="21"/>
      <c r="C304" s="22">
        <f t="shared" ref="C304:C306" ca="1" si="236">_xlfn.BETA.INV(RAND(),G299+1,H299+1)</f>
        <v>0.2035483185254543</v>
      </c>
      <c r="D304" s="23" t="b">
        <f ca="1">AND(C304&gt;C305,C304&gt;C306)</f>
        <v>0</v>
      </c>
      <c r="E304" s="21" t="str">
        <f ca="1">IF(D304 = TRUE, IF(B303&lt;=$B$1, TRUE, FALSE), " ")</f>
        <v xml:space="preserve"> </v>
      </c>
      <c r="F304" s="21"/>
      <c r="G304" s="24">
        <f t="shared" ref="G304:G306" ca="1" si="237">IF(AND(D304 = TRUE,E304 = TRUE), G299+1,G299)</f>
        <v>0</v>
      </c>
      <c r="H304" s="24">
        <f t="shared" ref="H304:H306" ca="1" si="238">IF(AND(D304 = TRUE, E304 = FALSE), H299+1,H299)</f>
        <v>3</v>
      </c>
      <c r="I304" s="25">
        <f t="shared" ref="I304:I306" ca="1" si="239">SUM(G304:H304)</f>
        <v>3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2.75">
      <c r="A305" s="26" t="s">
        <v>11</v>
      </c>
      <c r="B305" s="4"/>
      <c r="C305" s="10">
        <f t="shared" ca="1" si="236"/>
        <v>0.89565586282000687</v>
      </c>
      <c r="D305" s="27" t="b">
        <f ca="1">AND(C305&gt;C304,C305&gt;C306)</f>
        <v>1</v>
      </c>
      <c r="E305" s="4" t="b">
        <f ca="1">IF(D305 = TRUE, IF(B303&lt;=$D$1, TRUE, FALSE), " ")</f>
        <v>1</v>
      </c>
      <c r="F305" s="4"/>
      <c r="G305" s="13">
        <f t="shared" ca="1" si="237"/>
        <v>45</v>
      </c>
      <c r="H305" s="13">
        <f t="shared" ca="1" si="238"/>
        <v>10</v>
      </c>
      <c r="I305" s="28">
        <f t="shared" ca="1" si="239"/>
        <v>55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3.5" thickBot="1">
      <c r="A306" s="29" t="s">
        <v>12</v>
      </c>
      <c r="B306" s="30"/>
      <c r="C306" s="31">
        <f t="shared" ca="1" si="236"/>
        <v>0.27919395626970045</v>
      </c>
      <c r="D306" s="32" t="b">
        <f ca="1">AND(C306&gt;C304,C306&gt;C305)</f>
        <v>0</v>
      </c>
      <c r="E306" s="30" t="str">
        <f ca="1">IF(D306 = TRUE, IF(B303&lt;=$F$1, TRUE, FALSE), " ")</f>
        <v xml:space="preserve"> </v>
      </c>
      <c r="F306" s="30"/>
      <c r="G306" s="33">
        <f t="shared" ca="1" si="237"/>
        <v>0</v>
      </c>
      <c r="H306" s="33">
        <f t="shared" ca="1" si="238"/>
        <v>2</v>
      </c>
      <c r="I306" s="34">
        <f t="shared" ca="1" si="239"/>
        <v>2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2.75">
      <c r="A307" s="4"/>
      <c r="B307" s="4"/>
      <c r="C307" s="10"/>
      <c r="D307" s="4"/>
      <c r="E307" s="4"/>
      <c r="F307" s="4"/>
      <c r="G307" s="7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3.5" thickBot="1">
      <c r="A308" s="4"/>
      <c r="B308" s="4">
        <f ca="1">RAND()</f>
        <v>0.66458285552968521</v>
      </c>
      <c r="C308" s="10"/>
      <c r="D308" s="4"/>
      <c r="E308" s="4"/>
      <c r="F308" s="4"/>
      <c r="G308" s="7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2.75">
      <c r="A309" s="20" t="s">
        <v>10</v>
      </c>
      <c r="B309" s="21"/>
      <c r="C309" s="22">
        <f t="shared" ref="C309:C311" ca="1" si="240">_xlfn.BETA.INV(RAND(),G304+1,H304+1)</f>
        <v>0.66543849194820603</v>
      </c>
      <c r="D309" s="23" t="b">
        <f ca="1">AND(C309&gt;C310,C309&gt;C311)</f>
        <v>0</v>
      </c>
      <c r="E309" s="21" t="str">
        <f ca="1">IF(D309 = TRUE, IF(B308&lt;=$B$1, TRUE, FALSE), " ")</f>
        <v xml:space="preserve"> </v>
      </c>
      <c r="F309" s="21"/>
      <c r="G309" s="24">
        <f t="shared" ref="G309:G311" ca="1" si="241">IF(AND(D309 = TRUE,E309 = TRUE), G304+1,G304)</f>
        <v>0</v>
      </c>
      <c r="H309" s="24">
        <f t="shared" ref="H309:H311" ca="1" si="242">IF(AND(D309 = TRUE, E309 = FALSE), H304+1,H304)</f>
        <v>3</v>
      </c>
      <c r="I309" s="25">
        <f t="shared" ref="I309:I311" ca="1" si="243">SUM(G309:H309)</f>
        <v>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2.75">
      <c r="A310" s="26" t="s">
        <v>11</v>
      </c>
      <c r="B310" s="4"/>
      <c r="C310" s="10">
        <f t="shared" ca="1" si="240"/>
        <v>0.86271729225987914</v>
      </c>
      <c r="D310" s="27" t="b">
        <f ca="1">AND(C310&gt;C309,C310&gt;C311)</f>
        <v>1</v>
      </c>
      <c r="E310" s="4" t="b">
        <f ca="1">IF(D310 = TRUE, IF(B308&lt;=$D$1, TRUE, FALSE), " ")</f>
        <v>1</v>
      </c>
      <c r="F310" s="4"/>
      <c r="G310" s="13">
        <f t="shared" ca="1" si="241"/>
        <v>46</v>
      </c>
      <c r="H310" s="13">
        <f t="shared" ca="1" si="242"/>
        <v>10</v>
      </c>
      <c r="I310" s="28">
        <f t="shared" ca="1" si="243"/>
        <v>56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3.5" thickBot="1">
      <c r="A311" s="29" t="s">
        <v>12</v>
      </c>
      <c r="B311" s="30"/>
      <c r="C311" s="31">
        <f t="shared" ca="1" si="240"/>
        <v>0.37514931087834857</v>
      </c>
      <c r="D311" s="32" t="b">
        <f ca="1">AND(C311&gt;C309,C311&gt;C310)</f>
        <v>0</v>
      </c>
      <c r="E311" s="30" t="str">
        <f ca="1">IF(D311 = TRUE, IF(B308&lt;=$F$1, TRUE, FALSE), " ")</f>
        <v xml:space="preserve"> </v>
      </c>
      <c r="F311" s="30"/>
      <c r="G311" s="33">
        <f t="shared" ca="1" si="241"/>
        <v>0</v>
      </c>
      <c r="H311" s="33">
        <f t="shared" ca="1" si="242"/>
        <v>2</v>
      </c>
      <c r="I311" s="34">
        <f t="shared" ca="1" si="243"/>
        <v>2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2.75">
      <c r="A312" s="35"/>
      <c r="B312" s="4"/>
      <c r="C312" s="10"/>
      <c r="D312" s="4"/>
      <c r="E312" s="4"/>
      <c r="F312" s="4"/>
      <c r="G312" s="7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3.5" thickBot="1">
      <c r="A313" s="35"/>
      <c r="B313" s="4">
        <f ca="1">RAND()</f>
        <v>0.78073031943926741</v>
      </c>
      <c r="C313" s="10"/>
      <c r="D313" s="4"/>
      <c r="E313" s="4"/>
      <c r="F313" s="4"/>
      <c r="G313" s="7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2.75">
      <c r="A314" s="20" t="s">
        <v>10</v>
      </c>
      <c r="B314" s="21"/>
      <c r="C314" s="22">
        <f t="shared" ref="C314:C316" ca="1" si="244">_xlfn.BETA.INV(RAND(),G309+1,H309+1)</f>
        <v>4.6773748404166107E-2</v>
      </c>
      <c r="D314" s="23" t="b">
        <f ca="1">AND(C314&gt;C315,C314&gt;C316)</f>
        <v>0</v>
      </c>
      <c r="E314" s="21" t="str">
        <f ca="1">IF(D314 = TRUE, IF(B313&lt;=$B$1, TRUE, FALSE), " ")</f>
        <v xml:space="preserve"> </v>
      </c>
      <c r="F314" s="21"/>
      <c r="G314" s="24">
        <f t="shared" ref="G314:G316" ca="1" si="245">IF(AND(D314 = TRUE,E314 = TRUE), G309+1,G309)</f>
        <v>0</v>
      </c>
      <c r="H314" s="24">
        <f t="shared" ref="H314:H316" ca="1" si="246">IF(AND(D314 = TRUE, E314 = FALSE), H309+1,H309)</f>
        <v>3</v>
      </c>
      <c r="I314" s="25">
        <f t="shared" ref="I314:I316" ca="1" si="247">SUM(G314:H314)</f>
        <v>3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2.75">
      <c r="A315" s="26" t="s">
        <v>11</v>
      </c>
      <c r="B315" s="4"/>
      <c r="C315" s="10">
        <f t="shared" ca="1" si="244"/>
        <v>0.80988324614469975</v>
      </c>
      <c r="D315" s="27" t="b">
        <f ca="1">AND(C315&gt;C314,C315&gt;C316)</f>
        <v>1</v>
      </c>
      <c r="E315" s="4" t="b">
        <f ca="1">IF(D315 = TRUE, IF(B313&lt;=$D$1, TRUE, FALSE), " ")</f>
        <v>1</v>
      </c>
      <c r="F315" s="4"/>
      <c r="G315" s="13">
        <f t="shared" ca="1" si="245"/>
        <v>47</v>
      </c>
      <c r="H315" s="13">
        <f t="shared" ca="1" si="246"/>
        <v>10</v>
      </c>
      <c r="I315" s="28">
        <f t="shared" ca="1" si="247"/>
        <v>57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3.5" thickBot="1">
      <c r="A316" s="29" t="s">
        <v>12</v>
      </c>
      <c r="B316" s="30"/>
      <c r="C316" s="31">
        <f t="shared" ca="1" si="244"/>
        <v>0.10028839266816025</v>
      </c>
      <c r="D316" s="32" t="b">
        <f ca="1">AND(C316&gt;C314,C316&gt;C315)</f>
        <v>0</v>
      </c>
      <c r="E316" s="30" t="str">
        <f ca="1">IF(D316 = TRUE, IF(B313&lt;=$F$1, TRUE, FALSE), " ")</f>
        <v xml:space="preserve"> </v>
      </c>
      <c r="F316" s="30"/>
      <c r="G316" s="33">
        <f t="shared" ca="1" si="245"/>
        <v>0</v>
      </c>
      <c r="H316" s="33">
        <f t="shared" ca="1" si="246"/>
        <v>2</v>
      </c>
      <c r="I316" s="34">
        <f t="shared" ca="1" si="247"/>
        <v>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2.75">
      <c r="A317" s="35"/>
      <c r="B317" s="4"/>
      <c r="C317" s="10"/>
      <c r="D317" s="4"/>
      <c r="E317" s="4"/>
      <c r="F317" s="4"/>
      <c r="G317" s="7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3.5" thickBot="1">
      <c r="A318" s="35"/>
      <c r="B318" s="4">
        <f ca="1">RAND()</f>
        <v>0.25714756528203475</v>
      </c>
      <c r="C318" s="10"/>
      <c r="D318" s="4"/>
      <c r="E318" s="4"/>
      <c r="F318" s="4"/>
      <c r="G318" s="7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2.75">
      <c r="A319" s="20" t="s">
        <v>10</v>
      </c>
      <c r="B319" s="21"/>
      <c r="C319" s="22">
        <f t="shared" ref="C319:C321" ca="1" si="248">_xlfn.BETA.INV(RAND(),G314+1,H314+1)</f>
        <v>5.133719432987268E-2</v>
      </c>
      <c r="D319" s="23" t="b">
        <f ca="1">AND(C319&gt;C320,C319&gt;C321)</f>
        <v>0</v>
      </c>
      <c r="E319" s="21" t="str">
        <f ca="1">IF(D319 = TRUE, IF(B318&lt;=$B$1, TRUE, FALSE), " ")</f>
        <v xml:space="preserve"> </v>
      </c>
      <c r="F319" s="21"/>
      <c r="G319" s="24">
        <f t="shared" ref="G319:G321" ca="1" si="249">IF(AND(D319 = TRUE,E319 = TRUE), G314+1,G314)</f>
        <v>0</v>
      </c>
      <c r="H319" s="24">
        <f t="shared" ref="H319:H321" ca="1" si="250">IF(AND(D319 = TRUE, E319 = FALSE), H314+1,H314)</f>
        <v>3</v>
      </c>
      <c r="I319" s="25">
        <f t="shared" ref="I319:I321" ca="1" si="251">SUM(G319:H319)</f>
        <v>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2.75">
      <c r="A320" s="26" t="s">
        <v>11</v>
      </c>
      <c r="B320" s="4"/>
      <c r="C320" s="10">
        <f t="shared" ca="1" si="248"/>
        <v>0.77001666061364049</v>
      </c>
      <c r="D320" s="27" t="b">
        <f ca="1">AND(C320&gt;C319,C320&gt;C321)</f>
        <v>1</v>
      </c>
      <c r="E320" s="4" t="b">
        <f ca="1">IF(D320 = TRUE, IF(B318&lt;=$D$1, TRUE, FALSE), " ")</f>
        <v>1</v>
      </c>
      <c r="F320" s="4"/>
      <c r="G320" s="13">
        <f t="shared" ca="1" si="249"/>
        <v>48</v>
      </c>
      <c r="H320" s="13">
        <f t="shared" ca="1" si="250"/>
        <v>10</v>
      </c>
      <c r="I320" s="28">
        <f t="shared" ca="1" si="251"/>
        <v>58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3.5" thickBot="1">
      <c r="A321" s="29" t="s">
        <v>12</v>
      </c>
      <c r="B321" s="30"/>
      <c r="C321" s="31">
        <f t="shared" ca="1" si="248"/>
        <v>0.32743238409305342</v>
      </c>
      <c r="D321" s="32" t="b">
        <f ca="1">AND(C321&gt;C319,C321&gt;C320)</f>
        <v>0</v>
      </c>
      <c r="E321" s="30" t="str">
        <f ca="1">IF(D321 = TRUE, IF(B318&lt;=$F$1, TRUE, FALSE), " ")</f>
        <v xml:space="preserve"> </v>
      </c>
      <c r="F321" s="30"/>
      <c r="G321" s="33">
        <f t="shared" ca="1" si="249"/>
        <v>0</v>
      </c>
      <c r="H321" s="33">
        <f t="shared" ca="1" si="250"/>
        <v>2</v>
      </c>
      <c r="I321" s="34">
        <f t="shared" ca="1" si="251"/>
        <v>2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2.75">
      <c r="A322" s="4"/>
      <c r="B322" s="4"/>
      <c r="C322" s="10"/>
      <c r="D322" s="4"/>
      <c r="E322" s="4"/>
      <c r="F322" s="4"/>
      <c r="G322" s="7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3.5" thickBot="1">
      <c r="A323" s="4"/>
      <c r="B323" s="4">
        <f ca="1">RAND()</f>
        <v>0.75641146425064643</v>
      </c>
      <c r="C323" s="10"/>
      <c r="D323" s="4"/>
      <c r="E323" s="4"/>
      <c r="F323" s="4"/>
      <c r="G323" s="7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2.75">
      <c r="A324" s="20" t="s">
        <v>10</v>
      </c>
      <c r="B324" s="21"/>
      <c r="C324" s="22">
        <f t="shared" ref="C324:C326" ca="1" si="252">_xlfn.BETA.INV(RAND(),G319+1,H319+1)</f>
        <v>5.2512558153347266E-2</v>
      </c>
      <c r="D324" s="23" t="b">
        <f ca="1">AND(C324&gt;C325,C324&gt;C326)</f>
        <v>0</v>
      </c>
      <c r="E324" s="21" t="str">
        <f ca="1">IF(D324 = TRUE, IF(B323&lt;=$B$1, TRUE, FALSE), " ")</f>
        <v xml:space="preserve"> </v>
      </c>
      <c r="F324" s="21"/>
      <c r="G324" s="24">
        <f t="shared" ref="G324:G326" ca="1" si="253">IF(AND(D324 = TRUE,E324 = TRUE), G319+1,G319)</f>
        <v>0</v>
      </c>
      <c r="H324" s="24">
        <f t="shared" ref="H324:H326" ca="1" si="254">IF(AND(D324 = TRUE, E324 = FALSE), H319+1,H319)</f>
        <v>3</v>
      </c>
      <c r="I324" s="25">
        <f t="shared" ref="I324:I326" ca="1" si="255">SUM(G324:H324)</f>
        <v>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2.75">
      <c r="A325" s="26" t="s">
        <v>11</v>
      </c>
      <c r="B325" s="4"/>
      <c r="C325" s="10">
        <f t="shared" ca="1" si="252"/>
        <v>0.79216954140459572</v>
      </c>
      <c r="D325" s="27" t="b">
        <f ca="1">AND(C325&gt;C324,C325&gt;C326)</f>
        <v>1</v>
      </c>
      <c r="E325" s="4" t="b">
        <f ca="1">IF(D325 = TRUE, IF(B323&lt;=$D$1, TRUE, FALSE), " ")</f>
        <v>1</v>
      </c>
      <c r="F325" s="4"/>
      <c r="G325" s="13">
        <f t="shared" ca="1" si="253"/>
        <v>49</v>
      </c>
      <c r="H325" s="13">
        <f t="shared" ca="1" si="254"/>
        <v>10</v>
      </c>
      <c r="I325" s="28">
        <f t="shared" ca="1" si="255"/>
        <v>59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3.5" thickBot="1">
      <c r="A326" s="29" t="s">
        <v>12</v>
      </c>
      <c r="B326" s="30"/>
      <c r="C326" s="31">
        <f t="shared" ca="1" si="252"/>
        <v>0.56149823781296981</v>
      </c>
      <c r="D326" s="32" t="b">
        <f ca="1">AND(C326&gt;C324,C326&gt;C325)</f>
        <v>0</v>
      </c>
      <c r="E326" s="30" t="str">
        <f ca="1">IF(D326 = TRUE, IF(B323&lt;=$F$1, TRUE, FALSE), " ")</f>
        <v xml:space="preserve"> </v>
      </c>
      <c r="F326" s="30"/>
      <c r="G326" s="33">
        <f t="shared" ca="1" si="253"/>
        <v>0</v>
      </c>
      <c r="H326" s="33">
        <f t="shared" ca="1" si="254"/>
        <v>2</v>
      </c>
      <c r="I326" s="34">
        <f t="shared" ca="1" si="255"/>
        <v>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2.75">
      <c r="A327" s="35"/>
      <c r="B327" s="4"/>
      <c r="C327" s="10"/>
      <c r="D327" s="4"/>
      <c r="E327" s="4"/>
      <c r="F327" s="4"/>
      <c r="G327" s="7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3.5" thickBot="1">
      <c r="A328" s="35"/>
      <c r="B328" s="4">
        <f ca="1">RAND()</f>
        <v>0.32183015463612763</v>
      </c>
      <c r="C328" s="10"/>
      <c r="D328" s="4"/>
      <c r="E328" s="4"/>
      <c r="F328" s="4"/>
      <c r="G328" s="7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2.75">
      <c r="A329" s="20" t="s">
        <v>10</v>
      </c>
      <c r="B329" s="21"/>
      <c r="C329" s="22">
        <f t="shared" ref="C329:C331" ca="1" si="256">_xlfn.BETA.INV(RAND(),G324+1,H324+1)</f>
        <v>0.19072848038555701</v>
      </c>
      <c r="D329" s="23" t="b">
        <f ca="1">AND(C329&gt;C330,C329&gt;C331)</f>
        <v>0</v>
      </c>
      <c r="E329" s="21" t="str">
        <f ca="1">IF(D329 = TRUE, IF(B328&lt;=$B$1, TRUE, FALSE), " ")</f>
        <v xml:space="preserve"> </v>
      </c>
      <c r="F329" s="21"/>
      <c r="G329" s="24">
        <f t="shared" ref="G329:G331" ca="1" si="257">IF(AND(D329 = TRUE,E329 = TRUE), G324+1,G324)</f>
        <v>0</v>
      </c>
      <c r="H329" s="24">
        <f t="shared" ref="H329:H331" ca="1" si="258">IF(AND(D329 = TRUE, E329 = FALSE), H324+1,H324)</f>
        <v>3</v>
      </c>
      <c r="I329" s="25">
        <f t="shared" ref="I329:I331" ca="1" si="259">SUM(G329:H329)</f>
        <v>3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2.75">
      <c r="A330" s="26" t="s">
        <v>11</v>
      </c>
      <c r="B330" s="4"/>
      <c r="C330" s="10">
        <f t="shared" ca="1" si="256"/>
        <v>0.78051860191989164</v>
      </c>
      <c r="D330" s="27" t="b">
        <f ca="1">AND(C330&gt;C329,C330&gt;C331)</f>
        <v>1</v>
      </c>
      <c r="E330" s="4" t="b">
        <f ca="1">IF(D330 = TRUE, IF(B328&lt;=$D$1, TRUE, FALSE), " ")</f>
        <v>1</v>
      </c>
      <c r="F330" s="4"/>
      <c r="G330" s="13">
        <f t="shared" ca="1" si="257"/>
        <v>50</v>
      </c>
      <c r="H330" s="13">
        <f t="shared" ca="1" si="258"/>
        <v>10</v>
      </c>
      <c r="I330" s="28">
        <f t="shared" ca="1" si="259"/>
        <v>60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3.5" thickBot="1">
      <c r="A331" s="29" t="s">
        <v>12</v>
      </c>
      <c r="B331" s="30"/>
      <c r="C331" s="31">
        <f t="shared" ca="1" si="256"/>
        <v>0.45295638770488633</v>
      </c>
      <c r="D331" s="32" t="b">
        <f ca="1">AND(C331&gt;C329,C331&gt;C330)</f>
        <v>0</v>
      </c>
      <c r="E331" s="30" t="str">
        <f ca="1">IF(D331 = TRUE, IF(B328&lt;=$F$1, TRUE, FALSE), " ")</f>
        <v xml:space="preserve"> </v>
      </c>
      <c r="F331" s="30"/>
      <c r="G331" s="33">
        <f t="shared" ca="1" si="257"/>
        <v>0</v>
      </c>
      <c r="H331" s="33">
        <f t="shared" ca="1" si="258"/>
        <v>2</v>
      </c>
      <c r="I331" s="34">
        <f t="shared" ca="1" si="259"/>
        <v>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2.75">
      <c r="A332" s="35"/>
      <c r="B332" s="4"/>
      <c r="C332" s="10"/>
      <c r="D332" s="4"/>
      <c r="E332" s="4"/>
      <c r="F332" s="4"/>
      <c r="G332" s="7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3.5" thickBot="1">
      <c r="A333" s="35"/>
      <c r="B333" s="4">
        <f ca="1">RAND()</f>
        <v>4.8499513320906407E-2</v>
      </c>
      <c r="C333" s="10"/>
      <c r="D333" s="4"/>
      <c r="E333" s="4"/>
      <c r="F333" s="4"/>
      <c r="G333" s="7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2.75">
      <c r="A334" s="20" t="s">
        <v>10</v>
      </c>
      <c r="B334" s="21"/>
      <c r="C334" s="22">
        <f t="shared" ref="C334:C336" ca="1" si="260">_xlfn.BETA.INV(RAND(),G329+1,H329+1)</f>
        <v>0.14877403652068896</v>
      </c>
      <c r="D334" s="23" t="b">
        <f ca="1">AND(C334&gt;C335,C334&gt;C336)</f>
        <v>0</v>
      </c>
      <c r="E334" s="21" t="str">
        <f ca="1">IF(D334 = TRUE, IF(B333&lt;=$B$1, TRUE, FALSE), " ")</f>
        <v xml:space="preserve"> </v>
      </c>
      <c r="F334" s="21"/>
      <c r="G334" s="24">
        <f t="shared" ref="G334:G336" ca="1" si="261">IF(AND(D334 = TRUE,E334 = TRUE), G329+1,G329)</f>
        <v>0</v>
      </c>
      <c r="H334" s="24">
        <f t="shared" ref="H334:H336" ca="1" si="262">IF(AND(D334 = TRUE, E334 = FALSE), H329+1,H329)</f>
        <v>3</v>
      </c>
      <c r="I334" s="25">
        <f t="shared" ref="I334:I336" ca="1" si="263">SUM(G334:H334)</f>
        <v>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2.75">
      <c r="A335" s="26" t="s">
        <v>11</v>
      </c>
      <c r="B335" s="4"/>
      <c r="C335" s="10">
        <f t="shared" ca="1" si="260"/>
        <v>0.60670836597246736</v>
      </c>
      <c r="D335" s="27" t="b">
        <f ca="1">AND(C335&gt;C334,C335&gt;C336)</f>
        <v>1</v>
      </c>
      <c r="E335" s="4" t="b">
        <f ca="1">IF(D335 = TRUE, IF(B333&lt;=$D$1, TRUE, FALSE), " ")</f>
        <v>1</v>
      </c>
      <c r="F335" s="4"/>
      <c r="G335" s="13">
        <f t="shared" ca="1" si="261"/>
        <v>51</v>
      </c>
      <c r="H335" s="13">
        <f t="shared" ca="1" si="262"/>
        <v>10</v>
      </c>
      <c r="I335" s="28">
        <f t="shared" ca="1" si="263"/>
        <v>61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3.5" thickBot="1">
      <c r="A336" s="29" t="s">
        <v>12</v>
      </c>
      <c r="B336" s="30"/>
      <c r="C336" s="31">
        <f t="shared" ca="1" si="260"/>
        <v>0.30144980999862581</v>
      </c>
      <c r="D336" s="32" t="b">
        <f ca="1">AND(C336&gt;C334,C336&gt;C335)</f>
        <v>0</v>
      </c>
      <c r="E336" s="30" t="str">
        <f ca="1">IF(D336 = TRUE, IF(B333&lt;=$F$1, TRUE, FALSE), " ")</f>
        <v xml:space="preserve"> </v>
      </c>
      <c r="F336" s="30"/>
      <c r="G336" s="33">
        <f t="shared" ca="1" si="261"/>
        <v>0</v>
      </c>
      <c r="H336" s="33">
        <f t="shared" ca="1" si="262"/>
        <v>2</v>
      </c>
      <c r="I336" s="34">
        <f t="shared" ca="1" si="263"/>
        <v>2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2.75">
      <c r="A337" s="4"/>
      <c r="B337" s="4"/>
      <c r="C337" s="10"/>
      <c r="D337" s="4"/>
      <c r="E337" s="4"/>
      <c r="F337" s="4"/>
      <c r="G337" s="7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3.5" thickBot="1">
      <c r="A338" s="4"/>
      <c r="B338" s="4">
        <f ca="1">RAND()</f>
        <v>0.23765194508390386</v>
      </c>
      <c r="C338" s="10"/>
      <c r="D338" s="4"/>
      <c r="E338" s="4"/>
      <c r="F338" s="4"/>
      <c r="G338" s="7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2.75">
      <c r="A339" s="20" t="s">
        <v>10</v>
      </c>
      <c r="B339" s="21"/>
      <c r="C339" s="22">
        <f t="shared" ref="C339:C341" ca="1" si="264">_xlfn.BETA.INV(RAND(),G334+1,H334+1)</f>
        <v>0.3847849688042696</v>
      </c>
      <c r="D339" s="23" t="b">
        <f ca="1">AND(C339&gt;C340,C339&gt;C341)</f>
        <v>0</v>
      </c>
      <c r="E339" s="21" t="str">
        <f ca="1">IF(D339 = TRUE, IF(B338&lt;=$B$1, TRUE, FALSE), " ")</f>
        <v xml:space="preserve"> </v>
      </c>
      <c r="F339" s="21"/>
      <c r="G339" s="24">
        <f t="shared" ref="G339:G341" ca="1" si="265">IF(AND(D339 = TRUE,E339 = TRUE), G334+1,G334)</f>
        <v>0</v>
      </c>
      <c r="H339" s="24">
        <f t="shared" ref="H339:H341" ca="1" si="266">IF(AND(D339 = TRUE, E339 = FALSE), H334+1,H334)</f>
        <v>3</v>
      </c>
      <c r="I339" s="25">
        <f t="shared" ref="I339:I341" ca="1" si="267">SUM(G339:H339)</f>
        <v>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2.75">
      <c r="A340" s="26" t="s">
        <v>11</v>
      </c>
      <c r="B340" s="4"/>
      <c r="C340" s="10">
        <f t="shared" ca="1" si="264"/>
        <v>0.87205901428298094</v>
      </c>
      <c r="D340" s="27" t="b">
        <f ca="1">AND(C340&gt;C339,C340&gt;C341)</f>
        <v>1</v>
      </c>
      <c r="E340" s="4" t="b">
        <f ca="1">IF(D340 = TRUE, IF(B338&lt;=$D$1, TRUE, FALSE), " ")</f>
        <v>1</v>
      </c>
      <c r="F340" s="4"/>
      <c r="G340" s="13">
        <f t="shared" ca="1" si="265"/>
        <v>52</v>
      </c>
      <c r="H340" s="13">
        <f t="shared" ca="1" si="266"/>
        <v>10</v>
      </c>
      <c r="I340" s="28">
        <f t="shared" ca="1" si="267"/>
        <v>62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3.5" thickBot="1">
      <c r="A341" s="29" t="s">
        <v>12</v>
      </c>
      <c r="B341" s="30"/>
      <c r="C341" s="31">
        <f t="shared" ca="1" si="264"/>
        <v>7.0805346450270756E-2</v>
      </c>
      <c r="D341" s="32" t="b">
        <f ca="1">AND(C341&gt;C339,C341&gt;C340)</f>
        <v>0</v>
      </c>
      <c r="E341" s="30" t="str">
        <f ca="1">IF(D341 = TRUE, IF(B338&lt;=$F$1, TRUE, FALSE), " ")</f>
        <v xml:space="preserve"> </v>
      </c>
      <c r="F341" s="30"/>
      <c r="G341" s="33">
        <f t="shared" ca="1" si="265"/>
        <v>0</v>
      </c>
      <c r="H341" s="33">
        <f t="shared" ca="1" si="266"/>
        <v>2</v>
      </c>
      <c r="I341" s="34">
        <f t="shared" ca="1" si="267"/>
        <v>2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2.75">
      <c r="A342" s="35"/>
      <c r="B342" s="4"/>
      <c r="C342" s="10"/>
      <c r="D342" s="4"/>
      <c r="E342" s="4"/>
      <c r="F342" s="4"/>
      <c r="G342" s="7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3.5" thickBot="1">
      <c r="A343" s="35"/>
      <c r="B343" s="4">
        <f ca="1">RAND()</f>
        <v>0.34684675877350579</v>
      </c>
      <c r="C343" s="10"/>
      <c r="D343" s="4"/>
      <c r="E343" s="4"/>
      <c r="F343" s="4"/>
      <c r="G343" s="7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2.75">
      <c r="A344" s="20" t="s">
        <v>10</v>
      </c>
      <c r="B344" s="21"/>
      <c r="C344" s="22">
        <f t="shared" ref="C344:C346" ca="1" si="268">_xlfn.BETA.INV(RAND(),G339+1,H339+1)</f>
        <v>6.0561502419636239E-2</v>
      </c>
      <c r="D344" s="23" t="b">
        <f ca="1">AND(C344&gt;C345,C344&gt;C346)</f>
        <v>0</v>
      </c>
      <c r="E344" s="21" t="str">
        <f ca="1">IF(D344 = TRUE, IF(B343&lt;=$B$1, TRUE, FALSE), " ")</f>
        <v xml:space="preserve"> </v>
      </c>
      <c r="F344" s="21"/>
      <c r="G344" s="24">
        <f t="shared" ref="G344:G346" ca="1" si="269">IF(AND(D344 = TRUE,E344 = TRUE), G339+1,G339)</f>
        <v>0</v>
      </c>
      <c r="H344" s="24">
        <f t="shared" ref="H344:H346" ca="1" si="270">IF(AND(D344 = TRUE, E344 = FALSE), H339+1,H339)</f>
        <v>3</v>
      </c>
      <c r="I344" s="25">
        <f t="shared" ref="I344:I346" ca="1" si="271">SUM(G344:H344)</f>
        <v>3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2.75">
      <c r="A345" s="26" t="s">
        <v>11</v>
      </c>
      <c r="B345" s="4"/>
      <c r="C345" s="10">
        <f t="shared" ca="1" si="268"/>
        <v>0.83067681301293517</v>
      </c>
      <c r="D345" s="27" t="b">
        <f ca="1">AND(C345&gt;C344,C345&gt;C346)</f>
        <v>1</v>
      </c>
      <c r="E345" s="4" t="b">
        <f ca="1">IF(D345 = TRUE, IF(B343&lt;=$D$1, TRUE, FALSE), " ")</f>
        <v>1</v>
      </c>
      <c r="F345" s="4"/>
      <c r="G345" s="13">
        <f t="shared" ca="1" si="269"/>
        <v>53</v>
      </c>
      <c r="H345" s="13">
        <f t="shared" ca="1" si="270"/>
        <v>10</v>
      </c>
      <c r="I345" s="28">
        <f t="shared" ca="1" si="271"/>
        <v>63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3.5" thickBot="1">
      <c r="A346" s="29" t="s">
        <v>12</v>
      </c>
      <c r="B346" s="30"/>
      <c r="C346" s="31">
        <f t="shared" ca="1" si="268"/>
        <v>0.24043747003036409</v>
      </c>
      <c r="D346" s="32" t="b">
        <f ca="1">AND(C346&gt;C344,C346&gt;C345)</f>
        <v>0</v>
      </c>
      <c r="E346" s="30" t="str">
        <f ca="1">IF(D346 = TRUE, IF(B343&lt;=$F$1, TRUE, FALSE), " ")</f>
        <v xml:space="preserve"> </v>
      </c>
      <c r="F346" s="30"/>
      <c r="G346" s="33">
        <f t="shared" ca="1" si="269"/>
        <v>0</v>
      </c>
      <c r="H346" s="33">
        <f t="shared" ca="1" si="270"/>
        <v>2</v>
      </c>
      <c r="I346" s="34">
        <f t="shared" ca="1" si="271"/>
        <v>2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2.75">
      <c r="A347" s="35"/>
      <c r="B347" s="4"/>
      <c r="C347" s="10"/>
      <c r="D347" s="4"/>
      <c r="E347" s="4"/>
      <c r="F347" s="4"/>
      <c r="G347" s="7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3.5" thickBot="1">
      <c r="A348" s="35"/>
      <c r="B348" s="4">
        <f ca="1">RAND()</f>
        <v>0.73635653982833471</v>
      </c>
      <c r="C348" s="10"/>
      <c r="D348" s="4"/>
      <c r="E348" s="4"/>
      <c r="F348" s="4"/>
      <c r="G348" s="7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2.75">
      <c r="A349" s="20" t="s">
        <v>10</v>
      </c>
      <c r="B349" s="21"/>
      <c r="C349" s="22">
        <f t="shared" ref="C349:C351" ca="1" si="272">_xlfn.BETA.INV(RAND(),G344+1,H344+1)</f>
        <v>0.31179038675622694</v>
      </c>
      <c r="D349" s="23" t="b">
        <f ca="1">AND(C349&gt;C350,C349&gt;C351)</f>
        <v>0</v>
      </c>
      <c r="E349" s="21" t="str">
        <f ca="1">IF(D349 = TRUE, IF(B348&lt;=$B$1, TRUE, FALSE), " ")</f>
        <v xml:space="preserve"> </v>
      </c>
      <c r="F349" s="21"/>
      <c r="G349" s="24">
        <f t="shared" ref="G349:G351" ca="1" si="273">IF(AND(D349 = TRUE,E349 = TRUE), G344+1,G344)</f>
        <v>0</v>
      </c>
      <c r="H349" s="24">
        <f t="shared" ref="H349:H351" ca="1" si="274">IF(AND(D349 = TRUE, E349 = FALSE), H344+1,H344)</f>
        <v>3</v>
      </c>
      <c r="I349" s="25">
        <f t="shared" ref="I349:I351" ca="1" si="275">SUM(G349:H349)</f>
        <v>3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2.75">
      <c r="A350" s="26" t="s">
        <v>11</v>
      </c>
      <c r="B350" s="4"/>
      <c r="C350" s="10">
        <f t="shared" ca="1" si="272"/>
        <v>0.85493398686084265</v>
      </c>
      <c r="D350" s="27" t="b">
        <f ca="1">AND(C350&gt;C349,C350&gt;C351)</f>
        <v>1</v>
      </c>
      <c r="E350" s="4" t="b">
        <f ca="1">IF(D350 = TRUE, IF(B348&lt;=$D$1, TRUE, FALSE), " ")</f>
        <v>1</v>
      </c>
      <c r="F350" s="4"/>
      <c r="G350" s="13">
        <f t="shared" ca="1" si="273"/>
        <v>54</v>
      </c>
      <c r="H350" s="13">
        <f t="shared" ca="1" si="274"/>
        <v>10</v>
      </c>
      <c r="I350" s="28">
        <f t="shared" ca="1" si="275"/>
        <v>64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3.5" thickBot="1">
      <c r="A351" s="29" t="s">
        <v>12</v>
      </c>
      <c r="B351" s="30"/>
      <c r="C351" s="31">
        <f t="shared" ca="1" si="272"/>
        <v>0.22977975602879963</v>
      </c>
      <c r="D351" s="32" t="b">
        <f ca="1">AND(C351&gt;C349,C351&gt;C350)</f>
        <v>0</v>
      </c>
      <c r="E351" s="30" t="str">
        <f ca="1">IF(D351 = TRUE, IF(B348&lt;=$F$1, TRUE, FALSE), " ")</f>
        <v xml:space="preserve"> </v>
      </c>
      <c r="F351" s="30"/>
      <c r="G351" s="33">
        <f t="shared" ca="1" si="273"/>
        <v>0</v>
      </c>
      <c r="H351" s="33">
        <f t="shared" ca="1" si="274"/>
        <v>2</v>
      </c>
      <c r="I351" s="34">
        <f t="shared" ca="1" si="275"/>
        <v>2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2.75">
      <c r="A352" s="4"/>
      <c r="B352" s="4"/>
      <c r="C352" s="10"/>
      <c r="D352" s="4"/>
      <c r="E352" s="4"/>
      <c r="F352" s="4"/>
      <c r="G352" s="7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3.5" thickBot="1">
      <c r="A353" s="4"/>
      <c r="B353" s="4">
        <f ca="1">RAND()</f>
        <v>0.93287561475167913</v>
      </c>
      <c r="C353" s="10"/>
      <c r="D353" s="4"/>
      <c r="E353" s="4"/>
      <c r="F353" s="4"/>
      <c r="G353" s="7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2.75">
      <c r="A354" s="20" t="s">
        <v>10</v>
      </c>
      <c r="B354" s="21"/>
      <c r="C354" s="22">
        <f t="shared" ref="C354:C356" ca="1" si="276">_xlfn.BETA.INV(RAND(),G349+1,H349+1)</f>
        <v>3.5051789629375621E-2</v>
      </c>
      <c r="D354" s="23" t="b">
        <f ca="1">AND(C354&gt;C355,C354&gt;C356)</f>
        <v>0</v>
      </c>
      <c r="E354" s="21" t="str">
        <f ca="1">IF(D354 = TRUE, IF(B353&lt;=$B$1, TRUE, FALSE), " ")</f>
        <v xml:space="preserve"> </v>
      </c>
      <c r="F354" s="21"/>
      <c r="G354" s="24">
        <f t="shared" ref="G354:G356" ca="1" si="277">IF(AND(D354 = TRUE,E354 = TRUE), G349+1,G349)</f>
        <v>0</v>
      </c>
      <c r="H354" s="24">
        <f t="shared" ref="H354:H356" ca="1" si="278">IF(AND(D354 = TRUE, E354 = FALSE), H349+1,H349)</f>
        <v>3</v>
      </c>
      <c r="I354" s="25">
        <f t="shared" ref="I354:I356" ca="1" si="279">SUM(G354:H354)</f>
        <v>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2.75">
      <c r="A355" s="26" t="s">
        <v>11</v>
      </c>
      <c r="B355" s="4"/>
      <c r="C355" s="10">
        <f t="shared" ca="1" si="276"/>
        <v>0.74537893151228118</v>
      </c>
      <c r="D355" s="27" t="b">
        <f ca="1">AND(C355&gt;C354,C355&gt;C356)</f>
        <v>1</v>
      </c>
      <c r="E355" s="4" t="b">
        <f ca="1">IF(D355 = TRUE, IF(B353&lt;=$D$1, TRUE, FALSE), " ")</f>
        <v>0</v>
      </c>
      <c r="F355" s="4"/>
      <c r="G355" s="13">
        <f t="shared" ca="1" si="277"/>
        <v>54</v>
      </c>
      <c r="H355" s="13">
        <f t="shared" ca="1" si="278"/>
        <v>11</v>
      </c>
      <c r="I355" s="28">
        <f t="shared" ca="1" si="279"/>
        <v>65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3.5" thickBot="1">
      <c r="A356" s="29" t="s">
        <v>12</v>
      </c>
      <c r="B356" s="30"/>
      <c r="C356" s="31">
        <f t="shared" ca="1" si="276"/>
        <v>5.900205451049715E-2</v>
      </c>
      <c r="D356" s="32" t="b">
        <f ca="1">AND(C356&gt;C354,C356&gt;C355)</f>
        <v>0</v>
      </c>
      <c r="E356" s="30" t="str">
        <f ca="1">IF(D356 = TRUE, IF(B353&lt;=$F$1, TRUE, FALSE), " ")</f>
        <v xml:space="preserve"> </v>
      </c>
      <c r="F356" s="30"/>
      <c r="G356" s="33">
        <f t="shared" ca="1" si="277"/>
        <v>0</v>
      </c>
      <c r="H356" s="33">
        <f t="shared" ca="1" si="278"/>
        <v>2</v>
      </c>
      <c r="I356" s="34">
        <f t="shared" ca="1" si="279"/>
        <v>2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2.75">
      <c r="A357" s="35"/>
      <c r="B357" s="4"/>
      <c r="C357" s="10"/>
      <c r="D357" s="4"/>
      <c r="E357" s="4"/>
      <c r="F357" s="4"/>
      <c r="G357" s="7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3.5" thickBot="1">
      <c r="A358" s="35"/>
      <c r="B358" s="4">
        <f ca="1">RAND()</f>
        <v>0.69290879917112758</v>
      </c>
      <c r="C358" s="10"/>
      <c r="D358" s="4"/>
      <c r="E358" s="4"/>
      <c r="F358" s="4"/>
      <c r="G358" s="7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2.75">
      <c r="A359" s="20" t="s">
        <v>10</v>
      </c>
      <c r="B359" s="21"/>
      <c r="C359" s="22">
        <f t="shared" ref="C359:C361" ca="1" si="280">_xlfn.BETA.INV(RAND(),G354+1,H354+1)</f>
        <v>5.893427769444206E-2</v>
      </c>
      <c r="D359" s="23" t="b">
        <f ca="1">AND(C359&gt;C360,C359&gt;C361)</f>
        <v>0</v>
      </c>
      <c r="E359" s="21" t="str">
        <f ca="1">IF(D359 = TRUE, IF(B358&lt;=$B$1, TRUE, FALSE), " ")</f>
        <v xml:space="preserve"> </v>
      </c>
      <c r="F359" s="21"/>
      <c r="G359" s="24">
        <f t="shared" ref="G359:G361" ca="1" si="281">IF(AND(D359 = TRUE,E359 = TRUE), G354+1,G354)</f>
        <v>0</v>
      </c>
      <c r="H359" s="24">
        <f t="shared" ref="H359:H361" ca="1" si="282">IF(AND(D359 = TRUE, E359 = FALSE), H354+1,H354)</f>
        <v>3</v>
      </c>
      <c r="I359" s="25">
        <f t="shared" ref="I359:I361" ca="1" si="283">SUM(G359:H359)</f>
        <v>3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2.75">
      <c r="A360" s="26" t="s">
        <v>11</v>
      </c>
      <c r="B360" s="4"/>
      <c r="C360" s="10">
        <f t="shared" ca="1" si="280"/>
        <v>0.80471491454013977</v>
      </c>
      <c r="D360" s="27" t="b">
        <f ca="1">AND(C360&gt;C359,C360&gt;C361)</f>
        <v>1</v>
      </c>
      <c r="E360" s="4" t="b">
        <f ca="1">IF(D360 = TRUE, IF(B358&lt;=$D$1, TRUE, FALSE), " ")</f>
        <v>1</v>
      </c>
      <c r="F360" s="4"/>
      <c r="G360" s="13">
        <f t="shared" ca="1" si="281"/>
        <v>55</v>
      </c>
      <c r="H360" s="13">
        <f t="shared" ca="1" si="282"/>
        <v>11</v>
      </c>
      <c r="I360" s="28">
        <f t="shared" ca="1" si="283"/>
        <v>66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3.5" thickBot="1">
      <c r="A361" s="29" t="s">
        <v>12</v>
      </c>
      <c r="B361" s="30"/>
      <c r="C361" s="31">
        <f t="shared" ca="1" si="280"/>
        <v>0.40181349201125471</v>
      </c>
      <c r="D361" s="32" t="b">
        <f ca="1">AND(C361&gt;C359,C361&gt;C360)</f>
        <v>0</v>
      </c>
      <c r="E361" s="30" t="str">
        <f ca="1">IF(D361 = TRUE, IF(B358&lt;=$F$1, TRUE, FALSE), " ")</f>
        <v xml:space="preserve"> </v>
      </c>
      <c r="F361" s="30"/>
      <c r="G361" s="33">
        <f t="shared" ca="1" si="281"/>
        <v>0</v>
      </c>
      <c r="H361" s="33">
        <f t="shared" ca="1" si="282"/>
        <v>2</v>
      </c>
      <c r="I361" s="34">
        <f t="shared" ca="1" si="283"/>
        <v>2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2.75">
      <c r="A362" s="35"/>
      <c r="B362" s="4"/>
      <c r="C362" s="10"/>
      <c r="D362" s="4"/>
      <c r="E362" s="4"/>
      <c r="F362" s="4"/>
      <c r="G362" s="7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3.5" thickBot="1">
      <c r="A363" s="35"/>
      <c r="B363" s="4">
        <f ca="1">RAND()</f>
        <v>0.77295671932719368</v>
      </c>
      <c r="C363" s="10"/>
      <c r="D363" s="4"/>
      <c r="E363" s="4"/>
      <c r="F363" s="4"/>
      <c r="G363" s="7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2.75">
      <c r="A364" s="20" t="s">
        <v>10</v>
      </c>
      <c r="B364" s="21"/>
      <c r="C364" s="22">
        <f t="shared" ref="C364:C366" ca="1" si="284">_xlfn.BETA.INV(RAND(),G359+1,H359+1)</f>
        <v>0.50904947858498639</v>
      </c>
      <c r="D364" s="23" t="b">
        <f ca="1">AND(C364&gt;C365,C364&gt;C366)</f>
        <v>0</v>
      </c>
      <c r="E364" s="21" t="str">
        <f ca="1">IF(D364 = TRUE, IF(B363&lt;=$B$1, TRUE, FALSE), " ")</f>
        <v xml:space="preserve"> </v>
      </c>
      <c r="F364" s="21"/>
      <c r="G364" s="24">
        <f t="shared" ref="G364:G366" ca="1" si="285">IF(AND(D364 = TRUE,E364 = TRUE), G359+1,G359)</f>
        <v>0</v>
      </c>
      <c r="H364" s="24">
        <f t="shared" ref="H364:H366" ca="1" si="286">IF(AND(D364 = TRUE, E364 = FALSE), H359+1,H359)</f>
        <v>3</v>
      </c>
      <c r="I364" s="25">
        <f t="shared" ref="I364:I366" ca="1" si="287">SUM(G364:H364)</f>
        <v>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2.75">
      <c r="A365" s="26" t="s">
        <v>11</v>
      </c>
      <c r="B365" s="4"/>
      <c r="C365" s="10">
        <f t="shared" ca="1" si="284"/>
        <v>0.83257908544934167</v>
      </c>
      <c r="D365" s="27" t="b">
        <f ca="1">AND(C365&gt;C364,C365&gt;C366)</f>
        <v>1</v>
      </c>
      <c r="E365" s="4" t="b">
        <f ca="1">IF(D365 = TRUE, IF(B363&lt;=$D$1, TRUE, FALSE), " ")</f>
        <v>1</v>
      </c>
      <c r="F365" s="4"/>
      <c r="G365" s="13">
        <f t="shared" ca="1" si="285"/>
        <v>56</v>
      </c>
      <c r="H365" s="13">
        <f t="shared" ca="1" si="286"/>
        <v>11</v>
      </c>
      <c r="I365" s="28">
        <f t="shared" ca="1" si="287"/>
        <v>67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3.5" thickBot="1">
      <c r="A366" s="29" t="s">
        <v>12</v>
      </c>
      <c r="B366" s="30"/>
      <c r="C366" s="31">
        <f t="shared" ca="1" si="284"/>
        <v>0.55669063570667288</v>
      </c>
      <c r="D366" s="32" t="b">
        <f ca="1">AND(C366&gt;C364,C366&gt;C365)</f>
        <v>0</v>
      </c>
      <c r="E366" s="30" t="str">
        <f ca="1">IF(D366 = TRUE, IF(B363&lt;=$F$1, TRUE, FALSE), " ")</f>
        <v xml:space="preserve"> </v>
      </c>
      <c r="F366" s="30"/>
      <c r="G366" s="33">
        <f t="shared" ca="1" si="285"/>
        <v>0</v>
      </c>
      <c r="H366" s="33">
        <f t="shared" ca="1" si="286"/>
        <v>2</v>
      </c>
      <c r="I366" s="34">
        <f t="shared" ca="1" si="287"/>
        <v>2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2.75">
      <c r="A367" s="4"/>
      <c r="B367" s="4"/>
      <c r="C367" s="10"/>
      <c r="D367" s="4"/>
      <c r="E367" s="4"/>
      <c r="F367" s="4"/>
      <c r="G367" s="7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3.5" thickBot="1">
      <c r="A368" s="4"/>
      <c r="B368" s="4">
        <f ca="1">RAND()</f>
        <v>0.93864526184302788</v>
      </c>
      <c r="C368" s="10"/>
      <c r="D368" s="4"/>
      <c r="E368" s="4"/>
      <c r="F368" s="4"/>
      <c r="G368" s="7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2.75">
      <c r="A369" s="20" t="s">
        <v>10</v>
      </c>
      <c r="B369" s="21"/>
      <c r="C369" s="22">
        <f t="shared" ref="C369:C371" ca="1" si="288">_xlfn.BETA.INV(RAND(),G364+1,H364+1)</f>
        <v>0.21166903889116029</v>
      </c>
      <c r="D369" s="23" t="b">
        <f ca="1">AND(C369&gt;C370,C369&gt;C371)</f>
        <v>0</v>
      </c>
      <c r="E369" s="21" t="str">
        <f ca="1">IF(D369 = TRUE, IF(B368&lt;=$B$1, TRUE, FALSE), " ")</f>
        <v xml:space="preserve"> </v>
      </c>
      <c r="F369" s="21"/>
      <c r="G369" s="24">
        <f t="shared" ref="G369:G371" ca="1" si="289">IF(AND(D369 = TRUE,E369 = TRUE), G364+1,G364)</f>
        <v>0</v>
      </c>
      <c r="H369" s="24">
        <f t="shared" ref="H369:H371" ca="1" si="290">IF(AND(D369 = TRUE, E369 = FALSE), H364+1,H364)</f>
        <v>3</v>
      </c>
      <c r="I369" s="25">
        <f t="shared" ref="I369:I371" ca="1" si="291">SUM(G369:H369)</f>
        <v>3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2.75">
      <c r="A370" s="26" t="s">
        <v>11</v>
      </c>
      <c r="B370" s="4"/>
      <c r="C370" s="10">
        <f t="shared" ca="1" si="288"/>
        <v>0.72718638628394006</v>
      </c>
      <c r="D370" s="27" t="b">
        <f ca="1">AND(C370&gt;C369,C370&gt;C371)</f>
        <v>1</v>
      </c>
      <c r="E370" s="4" t="b">
        <f ca="1">IF(D370 = TRUE, IF(B368&lt;=$D$1, TRUE, FALSE), " ")</f>
        <v>0</v>
      </c>
      <c r="F370" s="4"/>
      <c r="G370" s="13">
        <f t="shared" ca="1" si="289"/>
        <v>56</v>
      </c>
      <c r="H370" s="13">
        <f t="shared" ca="1" si="290"/>
        <v>12</v>
      </c>
      <c r="I370" s="28">
        <f t="shared" ca="1" si="291"/>
        <v>68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3.5" thickBot="1">
      <c r="A371" s="29" t="s">
        <v>12</v>
      </c>
      <c r="B371" s="30"/>
      <c r="C371" s="31">
        <f t="shared" ca="1" si="288"/>
        <v>0.38789985883387568</v>
      </c>
      <c r="D371" s="32" t="b">
        <f ca="1">AND(C371&gt;C369,C371&gt;C370)</f>
        <v>0</v>
      </c>
      <c r="E371" s="30" t="str">
        <f ca="1">IF(D371 = TRUE, IF(B368&lt;=$F$1, TRUE, FALSE), " ")</f>
        <v xml:space="preserve"> </v>
      </c>
      <c r="F371" s="30"/>
      <c r="G371" s="33">
        <f t="shared" ca="1" si="289"/>
        <v>0</v>
      </c>
      <c r="H371" s="33">
        <f t="shared" ca="1" si="290"/>
        <v>2</v>
      </c>
      <c r="I371" s="34">
        <f t="shared" ca="1" si="291"/>
        <v>2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2.75">
      <c r="A372" s="35"/>
      <c r="B372" s="4"/>
      <c r="C372" s="10"/>
      <c r="D372" s="4"/>
      <c r="E372" s="4"/>
      <c r="F372" s="4"/>
      <c r="G372" s="7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3.5" thickBot="1">
      <c r="A373" s="35"/>
      <c r="B373" s="4">
        <f ca="1">RAND()</f>
        <v>0.60707866994749338</v>
      </c>
      <c r="C373" s="10"/>
      <c r="D373" s="4"/>
      <c r="E373" s="4"/>
      <c r="F373" s="4"/>
      <c r="G373" s="7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2.75">
      <c r="A374" s="20" t="s">
        <v>10</v>
      </c>
      <c r="B374" s="21"/>
      <c r="C374" s="22">
        <f t="shared" ref="C374:C376" ca="1" si="292">_xlfn.BETA.INV(RAND(),G369+1,H369+1)</f>
        <v>0.20693612584088283</v>
      </c>
      <c r="D374" s="23" t="b">
        <f ca="1">AND(C374&gt;C375,C374&gt;C376)</f>
        <v>0</v>
      </c>
      <c r="E374" s="21" t="str">
        <f ca="1">IF(D374 = TRUE, IF(B373&lt;=$B$1, TRUE, FALSE), " ")</f>
        <v xml:space="preserve"> </v>
      </c>
      <c r="F374" s="21"/>
      <c r="G374" s="24">
        <f t="shared" ref="G374:G376" ca="1" si="293">IF(AND(D374 = TRUE,E374 = TRUE), G369+1,G369)</f>
        <v>0</v>
      </c>
      <c r="H374" s="24">
        <f t="shared" ref="H374:H376" ca="1" si="294">IF(AND(D374 = TRUE, E374 = FALSE), H369+1,H369)</f>
        <v>3</v>
      </c>
      <c r="I374" s="25">
        <f t="shared" ref="I374:I376" ca="1" si="295">SUM(G374:H374)</f>
        <v>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2.75">
      <c r="A375" s="26" t="s">
        <v>11</v>
      </c>
      <c r="B375" s="4"/>
      <c r="C375" s="10">
        <f t="shared" ca="1" si="292"/>
        <v>0.87772285982875353</v>
      </c>
      <c r="D375" s="27" t="b">
        <f ca="1">AND(C375&gt;C374,C375&gt;C376)</f>
        <v>1</v>
      </c>
      <c r="E375" s="4" t="b">
        <f ca="1">IF(D375 = TRUE, IF(B373&lt;=$D$1, TRUE, FALSE), " ")</f>
        <v>1</v>
      </c>
      <c r="F375" s="4"/>
      <c r="G375" s="13">
        <f t="shared" ca="1" si="293"/>
        <v>57</v>
      </c>
      <c r="H375" s="13">
        <f t="shared" ca="1" si="294"/>
        <v>12</v>
      </c>
      <c r="I375" s="28">
        <f t="shared" ca="1" si="295"/>
        <v>69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3.5" thickBot="1">
      <c r="A376" s="29" t="s">
        <v>12</v>
      </c>
      <c r="B376" s="30"/>
      <c r="C376" s="31">
        <f t="shared" ca="1" si="292"/>
        <v>0.22932903458813558</v>
      </c>
      <c r="D376" s="32" t="b">
        <f ca="1">AND(C376&gt;C374,C376&gt;C375)</f>
        <v>0</v>
      </c>
      <c r="E376" s="30" t="str">
        <f ca="1">IF(D376 = TRUE, IF(B373&lt;=$F$1, TRUE, FALSE), " ")</f>
        <v xml:space="preserve"> </v>
      </c>
      <c r="F376" s="30"/>
      <c r="G376" s="33">
        <f t="shared" ca="1" si="293"/>
        <v>0</v>
      </c>
      <c r="H376" s="33">
        <f t="shared" ca="1" si="294"/>
        <v>2</v>
      </c>
      <c r="I376" s="34">
        <f t="shared" ca="1" si="295"/>
        <v>2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2.75">
      <c r="A377" s="35"/>
      <c r="B377" s="4"/>
      <c r="C377" s="10"/>
      <c r="D377" s="4"/>
      <c r="E377" s="4"/>
      <c r="F377" s="4"/>
      <c r="G377" s="7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3.5" thickBot="1">
      <c r="A378" s="35"/>
      <c r="B378" s="4">
        <f ca="1">RAND()</f>
        <v>0.70681441916246501</v>
      </c>
      <c r="C378" s="10"/>
      <c r="D378" s="4"/>
      <c r="E378" s="4"/>
      <c r="F378" s="4"/>
      <c r="G378" s="7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2.75">
      <c r="A379" s="20" t="s">
        <v>10</v>
      </c>
      <c r="B379" s="21"/>
      <c r="C379" s="22">
        <f t="shared" ref="C379:C381" ca="1" si="296">_xlfn.BETA.INV(RAND(),G374+1,H374+1)</f>
        <v>2.188831428864875E-2</v>
      </c>
      <c r="D379" s="23" t="b">
        <f ca="1">AND(C379&gt;C380,C379&gt;C381)</f>
        <v>0</v>
      </c>
      <c r="E379" s="21" t="str">
        <f ca="1">IF(D379 = TRUE, IF(B378&lt;=$B$1, TRUE, FALSE), " ")</f>
        <v xml:space="preserve"> </v>
      </c>
      <c r="F379" s="21"/>
      <c r="G379" s="24">
        <f t="shared" ref="G379:G381" ca="1" si="297">IF(AND(D379 = TRUE,E379 = TRUE), G374+1,G374)</f>
        <v>0</v>
      </c>
      <c r="H379" s="24">
        <f t="shared" ref="H379:H381" ca="1" si="298">IF(AND(D379 = TRUE, E379 = FALSE), H374+1,H374)</f>
        <v>3</v>
      </c>
      <c r="I379" s="25">
        <f t="shared" ref="I379:I381" ca="1" si="299">SUM(G379:H379)</f>
        <v>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2.75">
      <c r="A380" s="26" t="s">
        <v>11</v>
      </c>
      <c r="B380" s="4"/>
      <c r="C380" s="10">
        <f t="shared" ca="1" si="296"/>
        <v>0.8658401526053896</v>
      </c>
      <c r="D380" s="27" t="b">
        <f ca="1">AND(C380&gt;C379,C380&gt;C381)</f>
        <v>1</v>
      </c>
      <c r="E380" s="4" t="b">
        <f ca="1">IF(D380 = TRUE, IF(B378&lt;=$D$1, TRUE, FALSE), " ")</f>
        <v>1</v>
      </c>
      <c r="F380" s="4"/>
      <c r="G380" s="13">
        <f t="shared" ca="1" si="297"/>
        <v>58</v>
      </c>
      <c r="H380" s="13">
        <f t="shared" ca="1" si="298"/>
        <v>12</v>
      </c>
      <c r="I380" s="28">
        <f t="shared" ca="1" si="299"/>
        <v>70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3.5" thickBot="1">
      <c r="A381" s="29" t="s">
        <v>12</v>
      </c>
      <c r="B381" s="30"/>
      <c r="C381" s="31">
        <f t="shared" ca="1" si="296"/>
        <v>7.6837884918731406E-2</v>
      </c>
      <c r="D381" s="32" t="b">
        <f ca="1">AND(C381&gt;C379,C381&gt;C380)</f>
        <v>0</v>
      </c>
      <c r="E381" s="30" t="str">
        <f ca="1">IF(D381 = TRUE, IF(B378&lt;=$F$1, TRUE, FALSE), " ")</f>
        <v xml:space="preserve"> </v>
      </c>
      <c r="F381" s="30"/>
      <c r="G381" s="33">
        <f t="shared" ca="1" si="297"/>
        <v>0</v>
      </c>
      <c r="H381" s="33">
        <f t="shared" ca="1" si="298"/>
        <v>2</v>
      </c>
      <c r="I381" s="34">
        <f t="shared" ca="1" si="299"/>
        <v>2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2.75">
      <c r="A382" s="4"/>
      <c r="B382" s="4"/>
      <c r="C382" s="10"/>
      <c r="D382" s="4"/>
      <c r="E382" s="4"/>
      <c r="F382" s="4"/>
      <c r="G382" s="7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3.5" thickBot="1">
      <c r="A383" s="4"/>
      <c r="B383" s="4">
        <f ca="1">RAND()</f>
        <v>0.55071841768363594</v>
      </c>
      <c r="C383" s="10"/>
      <c r="D383" s="4"/>
      <c r="E383" s="4"/>
      <c r="F383" s="4"/>
      <c r="G383" s="7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2.75">
      <c r="A384" s="20" t="s">
        <v>10</v>
      </c>
      <c r="B384" s="21"/>
      <c r="C384" s="22">
        <f t="shared" ref="C384:C386" ca="1" si="300">_xlfn.BETA.INV(RAND(),G379+1,H379+1)</f>
        <v>0.47653874675237418</v>
      </c>
      <c r="D384" s="23" t="b">
        <f ca="1">AND(C384&gt;C385,C384&gt;C386)</f>
        <v>0</v>
      </c>
      <c r="E384" s="21" t="str">
        <f ca="1">IF(D384 = TRUE, IF(B383&lt;=$B$1, TRUE, FALSE), " ")</f>
        <v xml:space="preserve"> </v>
      </c>
      <c r="F384" s="21"/>
      <c r="G384" s="24">
        <f t="shared" ref="G384:G386" ca="1" si="301">IF(AND(D384 = TRUE,E384 = TRUE), G379+1,G379)</f>
        <v>0</v>
      </c>
      <c r="H384" s="24">
        <f t="shared" ref="H384:H386" ca="1" si="302">IF(AND(D384 = TRUE, E384 = FALSE), H379+1,H379)</f>
        <v>3</v>
      </c>
      <c r="I384" s="25">
        <f t="shared" ref="I384:I386" ca="1" si="303">SUM(G384:H384)</f>
        <v>3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2.75">
      <c r="A385" s="26" t="s">
        <v>11</v>
      </c>
      <c r="B385" s="4"/>
      <c r="C385" s="10">
        <f t="shared" ca="1" si="300"/>
        <v>0.82687370945878702</v>
      </c>
      <c r="D385" s="27" t="b">
        <f ca="1">AND(C385&gt;C384,C385&gt;C386)</f>
        <v>1</v>
      </c>
      <c r="E385" s="4" t="b">
        <f ca="1">IF(D385 = TRUE, IF(B383&lt;=$D$1, TRUE, FALSE), " ")</f>
        <v>1</v>
      </c>
      <c r="F385" s="4"/>
      <c r="G385" s="13">
        <f t="shared" ca="1" si="301"/>
        <v>59</v>
      </c>
      <c r="H385" s="13">
        <f t="shared" ca="1" si="302"/>
        <v>12</v>
      </c>
      <c r="I385" s="28">
        <f t="shared" ca="1" si="303"/>
        <v>71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3.5" thickBot="1">
      <c r="A386" s="29" t="s">
        <v>12</v>
      </c>
      <c r="B386" s="30"/>
      <c r="C386" s="31">
        <f t="shared" ca="1" si="300"/>
        <v>9.5394072824112885E-2</v>
      </c>
      <c r="D386" s="32" t="b">
        <f ca="1">AND(C386&gt;C384,C386&gt;C385)</f>
        <v>0</v>
      </c>
      <c r="E386" s="30" t="str">
        <f ca="1">IF(D386 = TRUE, IF(B383&lt;=$F$1, TRUE, FALSE), " ")</f>
        <v xml:space="preserve"> </v>
      </c>
      <c r="F386" s="30"/>
      <c r="G386" s="33">
        <f t="shared" ca="1" si="301"/>
        <v>0</v>
      </c>
      <c r="H386" s="33">
        <f t="shared" ca="1" si="302"/>
        <v>2</v>
      </c>
      <c r="I386" s="34">
        <f t="shared" ca="1" si="303"/>
        <v>2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2.75">
      <c r="A387" s="35"/>
      <c r="B387" s="4"/>
      <c r="C387" s="10"/>
      <c r="D387" s="4"/>
      <c r="E387" s="4"/>
      <c r="F387" s="4"/>
      <c r="G387" s="7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3.5" thickBot="1">
      <c r="A388" s="35"/>
      <c r="B388" s="4">
        <f ca="1">RAND()</f>
        <v>0.67332323574822139</v>
      </c>
      <c r="C388" s="10"/>
      <c r="D388" s="4"/>
      <c r="E388" s="4"/>
      <c r="F388" s="4"/>
      <c r="G388" s="7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2.75">
      <c r="A389" s="20" t="s">
        <v>10</v>
      </c>
      <c r="B389" s="21"/>
      <c r="C389" s="22">
        <f t="shared" ref="C389:C391" ca="1" si="304">_xlfn.BETA.INV(RAND(),G384+1,H384+1)</f>
        <v>0.12797042368375097</v>
      </c>
      <c r="D389" s="23" t="b">
        <f ca="1">AND(C389&gt;C390,C389&gt;C391)</f>
        <v>0</v>
      </c>
      <c r="E389" s="21" t="str">
        <f ca="1">IF(D389 = TRUE, IF(B388&lt;=$B$1, TRUE, FALSE), " ")</f>
        <v xml:space="preserve"> </v>
      </c>
      <c r="F389" s="21"/>
      <c r="G389" s="24">
        <f t="shared" ref="G389:G391" ca="1" si="305">IF(AND(D389 = TRUE,E389 = TRUE), G384+1,G384)</f>
        <v>0</v>
      </c>
      <c r="H389" s="24">
        <f t="shared" ref="H389:H391" ca="1" si="306">IF(AND(D389 = TRUE, E389 = FALSE), H384+1,H384)</f>
        <v>3</v>
      </c>
      <c r="I389" s="25">
        <f t="shared" ref="I389:I391" ca="1" si="307">SUM(G389:H389)</f>
        <v>3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2.75">
      <c r="A390" s="26" t="s">
        <v>11</v>
      </c>
      <c r="B390" s="4"/>
      <c r="C390" s="10">
        <f t="shared" ca="1" si="304"/>
        <v>0.83231634444201019</v>
      </c>
      <c r="D390" s="27" t="b">
        <f ca="1">AND(C390&gt;C389,C390&gt;C391)</f>
        <v>1</v>
      </c>
      <c r="E390" s="4" t="b">
        <f ca="1">IF(D390 = TRUE, IF(B388&lt;=$D$1, TRUE, FALSE), " ")</f>
        <v>1</v>
      </c>
      <c r="F390" s="4"/>
      <c r="G390" s="13">
        <f t="shared" ca="1" si="305"/>
        <v>60</v>
      </c>
      <c r="H390" s="13">
        <f t="shared" ca="1" si="306"/>
        <v>12</v>
      </c>
      <c r="I390" s="28">
        <f t="shared" ca="1" si="307"/>
        <v>72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3.5" thickBot="1">
      <c r="A391" s="29" t="s">
        <v>12</v>
      </c>
      <c r="B391" s="30"/>
      <c r="C391" s="31">
        <f t="shared" ca="1" si="304"/>
        <v>0.1432443222431003</v>
      </c>
      <c r="D391" s="32" t="b">
        <f ca="1">AND(C391&gt;C389,C391&gt;C390)</f>
        <v>0</v>
      </c>
      <c r="E391" s="30" t="str">
        <f ca="1">IF(D391 = TRUE, IF(B388&lt;=$F$1, TRUE, FALSE), " ")</f>
        <v xml:space="preserve"> </v>
      </c>
      <c r="F391" s="30"/>
      <c r="G391" s="33">
        <f t="shared" ca="1" si="305"/>
        <v>0</v>
      </c>
      <c r="H391" s="33">
        <f t="shared" ca="1" si="306"/>
        <v>2</v>
      </c>
      <c r="I391" s="34">
        <f t="shared" ca="1" si="307"/>
        <v>2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2.75">
      <c r="A392" s="35"/>
      <c r="B392" s="4"/>
      <c r="C392" s="10"/>
      <c r="D392" s="4"/>
      <c r="E392" s="4"/>
      <c r="F392" s="4"/>
      <c r="G392" s="7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3.5" thickBot="1">
      <c r="A393" s="35"/>
      <c r="B393" s="4">
        <f ca="1">RAND()</f>
        <v>0.53921387003215304</v>
      </c>
      <c r="C393" s="10"/>
      <c r="D393" s="4"/>
      <c r="E393" s="4"/>
      <c r="F393" s="4"/>
      <c r="G393" s="7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2.75">
      <c r="A394" s="20" t="s">
        <v>10</v>
      </c>
      <c r="B394" s="21"/>
      <c r="C394" s="22">
        <f t="shared" ref="C394:C396" ca="1" si="308">_xlfn.BETA.INV(RAND(),G389+1,H389+1)</f>
        <v>0.1477632322831775</v>
      </c>
      <c r="D394" s="23" t="b">
        <f ca="1">AND(C394&gt;C395,C394&gt;C396)</f>
        <v>0</v>
      </c>
      <c r="E394" s="21" t="str">
        <f ca="1">IF(D394 = TRUE, IF(B393&lt;=$B$1, TRUE, FALSE), " ")</f>
        <v xml:space="preserve"> </v>
      </c>
      <c r="F394" s="21"/>
      <c r="G394" s="24">
        <f t="shared" ref="G394:G396" ca="1" si="309">IF(AND(D394 = TRUE,E394 = TRUE), G389+1,G389)</f>
        <v>0</v>
      </c>
      <c r="H394" s="24">
        <f t="shared" ref="H394:H396" ca="1" si="310">IF(AND(D394 = TRUE, E394 = FALSE), H389+1,H389)</f>
        <v>3</v>
      </c>
      <c r="I394" s="25">
        <f t="shared" ref="I394:I396" ca="1" si="311">SUM(G394:H394)</f>
        <v>3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2.75">
      <c r="A395" s="26" t="s">
        <v>11</v>
      </c>
      <c r="B395" s="4"/>
      <c r="C395" s="10">
        <f t="shared" ca="1" si="308"/>
        <v>0.82843103294744525</v>
      </c>
      <c r="D395" s="27" t="b">
        <f ca="1">AND(C395&gt;C394,C395&gt;C396)</f>
        <v>1</v>
      </c>
      <c r="E395" s="4" t="b">
        <f ca="1">IF(D395 = TRUE, IF(B393&lt;=$D$1, TRUE, FALSE), " ")</f>
        <v>1</v>
      </c>
      <c r="F395" s="4"/>
      <c r="G395" s="13">
        <f t="shared" ca="1" si="309"/>
        <v>61</v>
      </c>
      <c r="H395" s="13">
        <f t="shared" ca="1" si="310"/>
        <v>12</v>
      </c>
      <c r="I395" s="28">
        <f t="shared" ca="1" si="311"/>
        <v>73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3.5" thickBot="1">
      <c r="A396" s="29" t="s">
        <v>12</v>
      </c>
      <c r="B396" s="30"/>
      <c r="C396" s="31">
        <f t="shared" ca="1" si="308"/>
        <v>0.52974710131342406</v>
      </c>
      <c r="D396" s="32" t="b">
        <f ca="1">AND(C396&gt;C394,C396&gt;C395)</f>
        <v>0</v>
      </c>
      <c r="E396" s="30" t="str">
        <f ca="1">IF(D396 = TRUE, IF(B393&lt;=$F$1, TRUE, FALSE), " ")</f>
        <v xml:space="preserve"> </v>
      </c>
      <c r="F396" s="30"/>
      <c r="G396" s="33">
        <f t="shared" ca="1" si="309"/>
        <v>0</v>
      </c>
      <c r="H396" s="33">
        <f t="shared" ca="1" si="310"/>
        <v>2</v>
      </c>
      <c r="I396" s="34">
        <f t="shared" ca="1" si="311"/>
        <v>2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2.75">
      <c r="A397" s="4"/>
      <c r="B397" s="4"/>
      <c r="C397" s="10"/>
      <c r="D397" s="4"/>
      <c r="E397" s="4"/>
      <c r="F397" s="4"/>
      <c r="G397" s="7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3.5" thickBot="1">
      <c r="A398" s="4"/>
      <c r="B398" s="4">
        <f ca="1">RAND()</f>
        <v>0.8115830256263652</v>
      </c>
      <c r="C398" s="10"/>
      <c r="D398" s="4"/>
      <c r="E398" s="4"/>
      <c r="F398" s="4"/>
      <c r="G398" s="7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2.75">
      <c r="A399" s="20" t="s">
        <v>10</v>
      </c>
      <c r="B399" s="21"/>
      <c r="C399" s="22">
        <f t="shared" ref="C399:C401" ca="1" si="312">_xlfn.BETA.INV(RAND(),G394+1,H394+1)</f>
        <v>1.9362029555787086E-2</v>
      </c>
      <c r="D399" s="23" t="b">
        <f ca="1">AND(C399&gt;C400,C399&gt;C401)</f>
        <v>0</v>
      </c>
      <c r="E399" s="21" t="str">
        <f ca="1">IF(D399 = TRUE, IF(B398&lt;=$B$1, TRUE, FALSE), " ")</f>
        <v xml:space="preserve"> </v>
      </c>
      <c r="F399" s="21"/>
      <c r="G399" s="24">
        <f t="shared" ref="G399:G401" ca="1" si="313">IF(AND(D399 = TRUE,E399 = TRUE), G394+1,G394)</f>
        <v>0</v>
      </c>
      <c r="H399" s="24">
        <f t="shared" ref="H399:H401" ca="1" si="314">IF(AND(D399 = TRUE, E399 = FALSE), H394+1,H394)</f>
        <v>3</v>
      </c>
      <c r="I399" s="25">
        <f t="shared" ref="I399:I401" ca="1" si="315">SUM(G399:H399)</f>
        <v>3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2.75">
      <c r="A400" s="26" t="s">
        <v>11</v>
      </c>
      <c r="B400" s="4"/>
      <c r="C400" s="10">
        <f t="shared" ca="1" si="312"/>
        <v>0.73236893121156543</v>
      </c>
      <c r="D400" s="27" t="b">
        <f ca="1">AND(C400&gt;C399,C400&gt;C401)</f>
        <v>1</v>
      </c>
      <c r="E400" s="4" t="b">
        <f ca="1">IF(D400 = TRUE, IF(B398&lt;=$D$1, TRUE, FALSE), " ")</f>
        <v>0</v>
      </c>
      <c r="F400" s="4"/>
      <c r="G400" s="13">
        <f t="shared" ca="1" si="313"/>
        <v>61</v>
      </c>
      <c r="H400" s="13">
        <f t="shared" ca="1" si="314"/>
        <v>13</v>
      </c>
      <c r="I400" s="28">
        <f t="shared" ca="1" si="315"/>
        <v>74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3.5" thickBot="1">
      <c r="A401" s="29" t="s">
        <v>12</v>
      </c>
      <c r="B401" s="30"/>
      <c r="C401" s="31">
        <f t="shared" ca="1" si="312"/>
        <v>0.15593085130610407</v>
      </c>
      <c r="D401" s="32" t="b">
        <f ca="1">AND(C401&gt;C399,C401&gt;C400)</f>
        <v>0</v>
      </c>
      <c r="E401" s="30" t="str">
        <f ca="1">IF(D401 = TRUE, IF(B398&lt;=$F$1, TRUE, FALSE), " ")</f>
        <v xml:space="preserve"> </v>
      </c>
      <c r="F401" s="30"/>
      <c r="G401" s="33">
        <f t="shared" ca="1" si="313"/>
        <v>0</v>
      </c>
      <c r="H401" s="33">
        <f t="shared" ca="1" si="314"/>
        <v>2</v>
      </c>
      <c r="I401" s="34">
        <f t="shared" ca="1" si="315"/>
        <v>2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2.75">
      <c r="A402" s="35"/>
      <c r="B402" s="4"/>
      <c r="C402" s="10"/>
      <c r="D402" s="4"/>
      <c r="E402" s="4"/>
      <c r="F402" s="4"/>
      <c r="G402" s="7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3.5" thickBot="1">
      <c r="A403" s="35"/>
      <c r="B403" s="4">
        <f ca="1">RAND()</f>
        <v>0.71391098580497014</v>
      </c>
      <c r="C403" s="10"/>
      <c r="D403" s="4"/>
      <c r="E403" s="4"/>
      <c r="F403" s="4"/>
      <c r="G403" s="7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2.75">
      <c r="A404" s="20" t="s">
        <v>10</v>
      </c>
      <c r="B404" s="21"/>
      <c r="C404" s="22">
        <f t="shared" ref="C404:C406" ca="1" si="316">_xlfn.BETA.INV(RAND(),G399+1,H399+1)</f>
        <v>5.6327198908830145E-2</v>
      </c>
      <c r="D404" s="23" t="b">
        <f ca="1">AND(C404&gt;C405,C404&gt;C406)</f>
        <v>0</v>
      </c>
      <c r="E404" s="21" t="str">
        <f ca="1">IF(D404 = TRUE, IF(B403&lt;=$B$1, TRUE, FALSE), " ")</f>
        <v xml:space="preserve"> </v>
      </c>
      <c r="F404" s="21"/>
      <c r="G404" s="24">
        <f t="shared" ref="G404:G406" ca="1" si="317">IF(AND(D404 = TRUE,E404 = TRUE), G399+1,G399)</f>
        <v>0</v>
      </c>
      <c r="H404" s="24">
        <f t="shared" ref="H404:H406" ca="1" si="318">IF(AND(D404 = TRUE, E404 = FALSE), H399+1,H399)</f>
        <v>3</v>
      </c>
      <c r="I404" s="25">
        <f t="shared" ref="I404:I406" ca="1" si="319">SUM(G404:H404)</f>
        <v>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2.75">
      <c r="A405" s="26" t="s">
        <v>11</v>
      </c>
      <c r="B405" s="4"/>
      <c r="C405" s="10">
        <f t="shared" ca="1" si="316"/>
        <v>0.72220929830951153</v>
      </c>
      <c r="D405" s="27" t="b">
        <f ca="1">AND(C405&gt;C404,C405&gt;C406)</f>
        <v>1</v>
      </c>
      <c r="E405" s="4" t="b">
        <f ca="1">IF(D405 = TRUE, IF(B403&lt;=$D$1, TRUE, FALSE), " ")</f>
        <v>1</v>
      </c>
      <c r="F405" s="4"/>
      <c r="G405" s="13">
        <f t="shared" ca="1" si="317"/>
        <v>62</v>
      </c>
      <c r="H405" s="13">
        <f t="shared" ca="1" si="318"/>
        <v>13</v>
      </c>
      <c r="I405" s="28">
        <f t="shared" ca="1" si="319"/>
        <v>75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3.5" thickBot="1">
      <c r="A406" s="29" t="s">
        <v>12</v>
      </c>
      <c r="B406" s="30"/>
      <c r="C406" s="31">
        <f t="shared" ca="1" si="316"/>
        <v>6.3466541869770673E-2</v>
      </c>
      <c r="D406" s="32" t="b">
        <f ca="1">AND(C406&gt;C404,C406&gt;C405)</f>
        <v>0</v>
      </c>
      <c r="E406" s="30" t="str">
        <f ca="1">IF(D406 = TRUE, IF(B403&lt;=$F$1, TRUE, FALSE), " ")</f>
        <v xml:space="preserve"> </v>
      </c>
      <c r="F406" s="30"/>
      <c r="G406" s="33">
        <f t="shared" ca="1" si="317"/>
        <v>0</v>
      </c>
      <c r="H406" s="33">
        <f t="shared" ca="1" si="318"/>
        <v>2</v>
      </c>
      <c r="I406" s="34">
        <f t="shared" ca="1" si="319"/>
        <v>2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2.75">
      <c r="A407" s="35"/>
      <c r="B407" s="4"/>
      <c r="C407" s="10"/>
      <c r="D407" s="4"/>
      <c r="E407" s="4"/>
      <c r="F407" s="4"/>
      <c r="G407" s="7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3.5" thickBot="1">
      <c r="A408" s="35"/>
      <c r="B408" s="4">
        <f ca="1">RAND()</f>
        <v>0.37352920845471793</v>
      </c>
      <c r="C408" s="10"/>
      <c r="D408" s="4"/>
      <c r="E408" s="4"/>
      <c r="F408" s="4"/>
      <c r="G408" s="7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2.75">
      <c r="A409" s="20" t="s">
        <v>10</v>
      </c>
      <c r="B409" s="21"/>
      <c r="C409" s="22">
        <f t="shared" ref="C409:C411" ca="1" si="320">_xlfn.BETA.INV(RAND(),G404+1,H404+1)</f>
        <v>3.4583740333898713E-3</v>
      </c>
      <c r="D409" s="23" t="b">
        <f ca="1">AND(C409&gt;C410,C409&gt;C411)</f>
        <v>0</v>
      </c>
      <c r="E409" s="21" t="str">
        <f ca="1">IF(D409 = TRUE, IF(B408&lt;=$B$1, TRUE, FALSE), " ")</f>
        <v xml:space="preserve"> </v>
      </c>
      <c r="F409" s="21"/>
      <c r="G409" s="24">
        <f t="shared" ref="G409:G411" ca="1" si="321">IF(AND(D409 = TRUE,E409 = TRUE), G404+1,G404)</f>
        <v>0</v>
      </c>
      <c r="H409" s="24">
        <f t="shared" ref="H409:H411" ca="1" si="322">IF(AND(D409 = TRUE, E409 = FALSE), H404+1,H404)</f>
        <v>3</v>
      </c>
      <c r="I409" s="25">
        <f t="shared" ref="I409:I411" ca="1" si="323">SUM(G409:H409)</f>
        <v>3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2.75">
      <c r="A410" s="26" t="s">
        <v>11</v>
      </c>
      <c r="B410" s="4"/>
      <c r="C410" s="10">
        <f t="shared" ca="1" si="320"/>
        <v>0.88830847221499054</v>
      </c>
      <c r="D410" s="27" t="b">
        <f ca="1">AND(C410&gt;C409,C410&gt;C411)</f>
        <v>1</v>
      </c>
      <c r="E410" s="4" t="b">
        <f ca="1">IF(D410 = TRUE, IF(B408&lt;=$D$1, TRUE, FALSE), " ")</f>
        <v>1</v>
      </c>
      <c r="F410" s="4"/>
      <c r="G410" s="13">
        <f t="shared" ca="1" si="321"/>
        <v>63</v>
      </c>
      <c r="H410" s="13">
        <f t="shared" ca="1" si="322"/>
        <v>13</v>
      </c>
      <c r="I410" s="28">
        <f t="shared" ca="1" si="323"/>
        <v>76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3.5" thickBot="1">
      <c r="A411" s="29" t="s">
        <v>12</v>
      </c>
      <c r="B411" s="30"/>
      <c r="C411" s="31">
        <f t="shared" ca="1" si="320"/>
        <v>0.41725774105392799</v>
      </c>
      <c r="D411" s="32" t="b">
        <f ca="1">AND(C411&gt;C409,C411&gt;C410)</f>
        <v>0</v>
      </c>
      <c r="E411" s="30" t="str">
        <f ca="1">IF(D411 = TRUE, IF(B408&lt;=$F$1, TRUE, FALSE), " ")</f>
        <v xml:space="preserve"> </v>
      </c>
      <c r="F411" s="30"/>
      <c r="G411" s="33">
        <f t="shared" ca="1" si="321"/>
        <v>0</v>
      </c>
      <c r="H411" s="33">
        <f t="shared" ca="1" si="322"/>
        <v>2</v>
      </c>
      <c r="I411" s="34">
        <f t="shared" ca="1" si="323"/>
        <v>2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2.75">
      <c r="A412" s="4"/>
      <c r="B412" s="4"/>
      <c r="C412" s="10"/>
      <c r="D412" s="4"/>
      <c r="E412" s="4"/>
      <c r="F412" s="4"/>
      <c r="G412" s="7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3.5" thickBot="1">
      <c r="A413" s="4"/>
      <c r="B413" s="4">
        <f ca="1">RAND()</f>
        <v>0.63219812533117503</v>
      </c>
      <c r="C413" s="10"/>
      <c r="D413" s="4"/>
      <c r="E413" s="4"/>
      <c r="F413" s="4"/>
      <c r="G413" s="7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2.75">
      <c r="A414" s="20" t="s">
        <v>10</v>
      </c>
      <c r="B414" s="21"/>
      <c r="C414" s="22">
        <f t="shared" ref="C414:C416" ca="1" si="324">_xlfn.BETA.INV(RAND(),G409+1,H409+1)</f>
        <v>0.11260082460019598</v>
      </c>
      <c r="D414" s="23" t="b">
        <f ca="1">AND(C414&gt;C415,C414&gt;C416)</f>
        <v>0</v>
      </c>
      <c r="E414" s="21" t="str">
        <f ca="1">IF(D414 = TRUE, IF(B413&lt;=$B$1, TRUE, FALSE), " ")</f>
        <v xml:space="preserve"> </v>
      </c>
      <c r="F414" s="21"/>
      <c r="G414" s="24">
        <f t="shared" ref="G414:G416" ca="1" si="325">IF(AND(D414 = TRUE,E414 = TRUE), G409+1,G409)</f>
        <v>0</v>
      </c>
      <c r="H414" s="24">
        <f t="shared" ref="H414:H416" ca="1" si="326">IF(AND(D414 = TRUE, E414 = FALSE), H409+1,H409)</f>
        <v>3</v>
      </c>
      <c r="I414" s="25">
        <f t="shared" ref="I414:I416" ca="1" si="327">SUM(G414:H414)</f>
        <v>3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2.75">
      <c r="A415" s="26" t="s">
        <v>11</v>
      </c>
      <c r="B415" s="4"/>
      <c r="C415" s="10">
        <f t="shared" ca="1" si="324"/>
        <v>0.84286608471651703</v>
      </c>
      <c r="D415" s="27" t="b">
        <f ca="1">AND(C415&gt;C414,C415&gt;C416)</f>
        <v>1</v>
      </c>
      <c r="E415" s="4" t="b">
        <f ca="1">IF(D415 = TRUE, IF(B413&lt;=$D$1, TRUE, FALSE), " ")</f>
        <v>1</v>
      </c>
      <c r="F415" s="4"/>
      <c r="G415" s="13">
        <f t="shared" ca="1" si="325"/>
        <v>64</v>
      </c>
      <c r="H415" s="13">
        <f t="shared" ca="1" si="326"/>
        <v>13</v>
      </c>
      <c r="I415" s="28">
        <f t="shared" ca="1" si="327"/>
        <v>77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3.5" thickBot="1">
      <c r="A416" s="29" t="s">
        <v>12</v>
      </c>
      <c r="B416" s="30"/>
      <c r="C416" s="31">
        <f t="shared" ca="1" si="324"/>
        <v>2.6364670293884566E-2</v>
      </c>
      <c r="D416" s="32" t="b">
        <f ca="1">AND(C416&gt;C414,C416&gt;C415)</f>
        <v>0</v>
      </c>
      <c r="E416" s="30" t="str">
        <f ca="1">IF(D416 = TRUE, IF(B413&lt;=$F$1, TRUE, FALSE), " ")</f>
        <v xml:space="preserve"> </v>
      </c>
      <c r="F416" s="30"/>
      <c r="G416" s="33">
        <f t="shared" ca="1" si="325"/>
        <v>0</v>
      </c>
      <c r="H416" s="33">
        <f t="shared" ca="1" si="326"/>
        <v>2</v>
      </c>
      <c r="I416" s="34">
        <f t="shared" ca="1" si="327"/>
        <v>2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2.75">
      <c r="A417" s="35"/>
      <c r="B417" s="4"/>
      <c r="C417" s="10"/>
      <c r="D417" s="4"/>
      <c r="E417" s="4"/>
      <c r="F417" s="4"/>
      <c r="G417" s="7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3.5" thickBot="1">
      <c r="A418" s="35"/>
      <c r="B418" s="4">
        <f ca="1">RAND()</f>
        <v>8.0154366852868697E-2</v>
      </c>
      <c r="C418" s="10"/>
      <c r="D418" s="4"/>
      <c r="E418" s="4"/>
      <c r="F418" s="4"/>
      <c r="G418" s="7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2.75">
      <c r="A419" s="20" t="s">
        <v>10</v>
      </c>
      <c r="B419" s="21"/>
      <c r="C419" s="22">
        <f t="shared" ref="C419:C421" ca="1" si="328">_xlfn.BETA.INV(RAND(),G414+1,H414+1)</f>
        <v>0.11302741787711822</v>
      </c>
      <c r="D419" s="23" t="b">
        <f ca="1">AND(C419&gt;C420,C419&gt;C421)</f>
        <v>0</v>
      </c>
      <c r="E419" s="21" t="str">
        <f ca="1">IF(D419 = TRUE, IF(B418&lt;=$B$1, TRUE, FALSE), " ")</f>
        <v xml:space="preserve"> </v>
      </c>
      <c r="F419" s="21"/>
      <c r="G419" s="24">
        <f t="shared" ref="G419:G421" ca="1" si="329">IF(AND(D419 = TRUE,E419 = TRUE), G414+1,G414)</f>
        <v>0</v>
      </c>
      <c r="H419" s="24">
        <f t="shared" ref="H419:H421" ca="1" si="330">IF(AND(D419 = TRUE, E419 = FALSE), H414+1,H414)</f>
        <v>3</v>
      </c>
      <c r="I419" s="25">
        <f t="shared" ref="I419:I421" ca="1" si="331">SUM(G419:H419)</f>
        <v>3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2.75">
      <c r="A420" s="26" t="s">
        <v>11</v>
      </c>
      <c r="B420" s="4"/>
      <c r="C420" s="10">
        <f t="shared" ca="1" si="328"/>
        <v>0.84853611893407277</v>
      </c>
      <c r="D420" s="27" t="b">
        <f ca="1">AND(C420&gt;C419,C420&gt;C421)</f>
        <v>1</v>
      </c>
      <c r="E420" s="4" t="b">
        <f ca="1">IF(D420 = TRUE, IF(B418&lt;=$D$1, TRUE, FALSE), " ")</f>
        <v>1</v>
      </c>
      <c r="F420" s="4"/>
      <c r="G420" s="13">
        <f t="shared" ca="1" si="329"/>
        <v>65</v>
      </c>
      <c r="H420" s="13">
        <f t="shared" ca="1" si="330"/>
        <v>13</v>
      </c>
      <c r="I420" s="28">
        <f t="shared" ca="1" si="331"/>
        <v>78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3.5" thickBot="1">
      <c r="A421" s="29" t="s">
        <v>12</v>
      </c>
      <c r="B421" s="30"/>
      <c r="C421" s="31">
        <f t="shared" ca="1" si="328"/>
        <v>0.22516658201130724</v>
      </c>
      <c r="D421" s="32" t="b">
        <f ca="1">AND(C421&gt;C419,C421&gt;C420)</f>
        <v>0</v>
      </c>
      <c r="E421" s="30" t="str">
        <f ca="1">IF(D421 = TRUE, IF(B418&lt;=$F$1, TRUE, FALSE), " ")</f>
        <v xml:space="preserve"> </v>
      </c>
      <c r="F421" s="30"/>
      <c r="G421" s="33">
        <f t="shared" ca="1" si="329"/>
        <v>0</v>
      </c>
      <c r="H421" s="33">
        <f t="shared" ca="1" si="330"/>
        <v>2</v>
      </c>
      <c r="I421" s="34">
        <f t="shared" ca="1" si="331"/>
        <v>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2.75">
      <c r="A422" s="35"/>
      <c r="B422" s="4"/>
      <c r="C422" s="10"/>
      <c r="D422" s="4"/>
      <c r="E422" s="4"/>
      <c r="F422" s="4"/>
      <c r="G422" s="7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3.5" thickBot="1">
      <c r="A423" s="35"/>
      <c r="B423" s="4">
        <f ca="1">RAND()</f>
        <v>0.62913464969488753</v>
      </c>
      <c r="C423" s="10"/>
      <c r="D423" s="4"/>
      <c r="E423" s="4"/>
      <c r="F423" s="4"/>
      <c r="G423" s="7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2.75">
      <c r="A424" s="20" t="s">
        <v>10</v>
      </c>
      <c r="B424" s="21"/>
      <c r="C424" s="22">
        <f t="shared" ref="C424:C426" ca="1" si="332">_xlfn.BETA.INV(RAND(),G419+1,H419+1)</f>
        <v>0.15142245056031856</v>
      </c>
      <c r="D424" s="23" t="b">
        <f ca="1">AND(C424&gt;C425,C424&gt;C426)</f>
        <v>0</v>
      </c>
      <c r="E424" s="21" t="str">
        <f ca="1">IF(D424 = TRUE, IF(B423&lt;=$B$1, TRUE, FALSE), " ")</f>
        <v xml:space="preserve"> </v>
      </c>
      <c r="F424" s="21"/>
      <c r="G424" s="24">
        <f t="shared" ref="G424:G426" ca="1" si="333">IF(AND(D424 = TRUE,E424 = TRUE), G419+1,G419)</f>
        <v>0</v>
      </c>
      <c r="H424" s="24">
        <f t="shared" ref="H424:H426" ca="1" si="334">IF(AND(D424 = TRUE, E424 = FALSE), H419+1,H419)</f>
        <v>3</v>
      </c>
      <c r="I424" s="25">
        <f t="shared" ref="I424:I426" ca="1" si="335">SUM(G424:H424)</f>
        <v>3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2.75">
      <c r="A425" s="26" t="s">
        <v>11</v>
      </c>
      <c r="B425" s="4"/>
      <c r="C425" s="10">
        <f t="shared" ca="1" si="332"/>
        <v>0.85651954310782119</v>
      </c>
      <c r="D425" s="27" t="b">
        <f ca="1">AND(C425&gt;C424,C425&gt;C426)</f>
        <v>1</v>
      </c>
      <c r="E425" s="4" t="b">
        <f ca="1">IF(D425 = TRUE, IF(B423&lt;=$D$1, TRUE, FALSE), " ")</f>
        <v>1</v>
      </c>
      <c r="F425" s="4"/>
      <c r="G425" s="13">
        <f t="shared" ca="1" si="333"/>
        <v>66</v>
      </c>
      <c r="H425" s="13">
        <f t="shared" ca="1" si="334"/>
        <v>13</v>
      </c>
      <c r="I425" s="28">
        <f t="shared" ca="1" si="335"/>
        <v>79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3.5" thickBot="1">
      <c r="A426" s="29" t="s">
        <v>12</v>
      </c>
      <c r="B426" s="30"/>
      <c r="C426" s="31">
        <f t="shared" ca="1" si="332"/>
        <v>0.16285301737869032</v>
      </c>
      <c r="D426" s="32" t="b">
        <f ca="1">AND(C426&gt;C424,C426&gt;C425)</f>
        <v>0</v>
      </c>
      <c r="E426" s="30" t="str">
        <f ca="1">IF(D426 = TRUE, IF(B423&lt;=$F$1, TRUE, FALSE), " ")</f>
        <v xml:space="preserve"> </v>
      </c>
      <c r="F426" s="30"/>
      <c r="G426" s="33">
        <f t="shared" ca="1" si="333"/>
        <v>0</v>
      </c>
      <c r="H426" s="33">
        <f t="shared" ca="1" si="334"/>
        <v>2</v>
      </c>
      <c r="I426" s="34">
        <f t="shared" ca="1" si="335"/>
        <v>2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2.75">
      <c r="A427" s="35"/>
      <c r="B427" s="4"/>
      <c r="C427" s="10"/>
      <c r="D427" s="4"/>
      <c r="E427" s="4"/>
      <c r="F427" s="4"/>
      <c r="G427" s="7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3.5" thickBot="1">
      <c r="A428" s="19"/>
      <c r="B428" s="4">
        <f ca="1">RAND()</f>
        <v>4.4050983874862948E-2</v>
      </c>
      <c r="C428" s="10"/>
      <c r="D428" s="4"/>
      <c r="E428" s="4"/>
      <c r="F428" s="4"/>
      <c r="G428" s="7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2.75">
      <c r="A429" s="20" t="s">
        <v>10</v>
      </c>
      <c r="B429" s="21"/>
      <c r="C429" s="22">
        <f t="shared" ref="C429:C431" ca="1" si="336">_xlfn.BETA.INV(RAND(),G424+1,H424+1)</f>
        <v>7.0873136605436995E-2</v>
      </c>
      <c r="D429" s="23" t="b">
        <f ca="1">AND(C429&gt;C430,C429&gt;C431)</f>
        <v>0</v>
      </c>
      <c r="E429" s="21" t="str">
        <f ca="1">IF(D429 = TRUE, IF(B428&lt;=$B$1, TRUE, FALSE), " ")</f>
        <v xml:space="preserve"> </v>
      </c>
      <c r="F429" s="21"/>
      <c r="G429" s="24">
        <f t="shared" ref="G429:G431" ca="1" si="337">IF(AND(D429 = TRUE,E429 = TRUE), G424+1,G424)</f>
        <v>0</v>
      </c>
      <c r="H429" s="24">
        <f t="shared" ref="H429:H431" ca="1" si="338">IF(AND(D429 = TRUE, E429 = FALSE), H424+1,H424)</f>
        <v>3</v>
      </c>
      <c r="I429" s="25">
        <f t="shared" ref="I429:I431" ca="1" si="339">SUM(G429:H429)</f>
        <v>3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2.75">
      <c r="A430" s="26" t="s">
        <v>11</v>
      </c>
      <c r="B430" s="4"/>
      <c r="C430" s="10">
        <f t="shared" ca="1" si="336"/>
        <v>0.85739442812688926</v>
      </c>
      <c r="D430" s="27" t="b">
        <f ca="1">AND(C430&gt;C429,C430&gt;C431)</f>
        <v>1</v>
      </c>
      <c r="E430" s="4" t="b">
        <f ca="1">IF(D430 = TRUE, IF(B428&lt;=$D$1, TRUE, FALSE), " ")</f>
        <v>1</v>
      </c>
      <c r="F430" s="4"/>
      <c r="G430" s="13">
        <f t="shared" ca="1" si="337"/>
        <v>67</v>
      </c>
      <c r="H430" s="13">
        <f t="shared" ca="1" si="338"/>
        <v>13</v>
      </c>
      <c r="I430" s="28">
        <f t="shared" ca="1" si="339"/>
        <v>80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3.5" thickBot="1">
      <c r="A431" s="29" t="s">
        <v>12</v>
      </c>
      <c r="B431" s="30"/>
      <c r="C431" s="31">
        <f t="shared" ca="1" si="336"/>
        <v>2.7775795712935602E-2</v>
      </c>
      <c r="D431" s="32" t="b">
        <f ca="1">AND(C431&gt;C429,C431&gt;C430)</f>
        <v>0</v>
      </c>
      <c r="E431" s="30" t="str">
        <f ca="1">IF(D431 = TRUE, IF(B428&lt;=$F$1, TRUE, FALSE), " ")</f>
        <v xml:space="preserve"> </v>
      </c>
      <c r="F431" s="30"/>
      <c r="G431" s="33">
        <f t="shared" ca="1" si="337"/>
        <v>0</v>
      </c>
      <c r="H431" s="33">
        <f t="shared" ca="1" si="338"/>
        <v>2</v>
      </c>
      <c r="I431" s="34">
        <f t="shared" ca="1" si="339"/>
        <v>2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2.75">
      <c r="A432" s="35"/>
      <c r="B432" s="4"/>
      <c r="C432" s="10"/>
      <c r="D432" s="4"/>
      <c r="E432" s="4"/>
      <c r="F432" s="4"/>
      <c r="G432" s="7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3.5" thickBot="1">
      <c r="A433" s="19"/>
      <c r="B433" s="4">
        <f ca="1">RAND()</f>
        <v>0.85004080406822968</v>
      </c>
      <c r="C433" s="10"/>
      <c r="D433" s="4"/>
      <c r="E433" s="4"/>
      <c r="F433" s="4"/>
      <c r="G433" s="7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2.75">
      <c r="A434" s="20" t="s">
        <v>10</v>
      </c>
      <c r="B434" s="21"/>
      <c r="C434" s="22">
        <f t="shared" ref="C434:C436" ca="1" si="340">_xlfn.BETA.INV(RAND(),G429+1,H429+1)</f>
        <v>3.2262674737813336E-2</v>
      </c>
      <c r="D434" s="23" t="b">
        <f ca="1">AND(C434&gt;C435,C434&gt;C436)</f>
        <v>0</v>
      </c>
      <c r="E434" s="21" t="str">
        <f ca="1">IF(D434 = TRUE, IF(B433&lt;=$B$1, TRUE, FALSE), " ")</f>
        <v xml:space="preserve"> </v>
      </c>
      <c r="F434" s="21"/>
      <c r="G434" s="24">
        <f t="shared" ref="G434:G436" ca="1" si="341">IF(AND(D434 = TRUE,E434 = TRUE), G429+1,G429)</f>
        <v>0</v>
      </c>
      <c r="H434" s="24">
        <f t="shared" ref="H434:H436" ca="1" si="342">IF(AND(D434 = TRUE, E434 = FALSE), H429+1,H429)</f>
        <v>3</v>
      </c>
      <c r="I434" s="25">
        <f t="shared" ref="I434:I436" ca="1" si="343">SUM(G434:H434)</f>
        <v>3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2.75">
      <c r="A435" s="26" t="s">
        <v>11</v>
      </c>
      <c r="B435" s="4"/>
      <c r="C435" s="10">
        <f t="shared" ca="1" si="340"/>
        <v>0.84115229513575163</v>
      </c>
      <c r="D435" s="27" t="b">
        <f ca="1">AND(C435&gt;C434,C435&gt;C436)</f>
        <v>1</v>
      </c>
      <c r="E435" s="4" t="b">
        <f ca="1">IF(D435 = TRUE, IF(B433&lt;=$D$1, TRUE, FALSE), " ")</f>
        <v>0</v>
      </c>
      <c r="F435" s="4"/>
      <c r="G435" s="13">
        <f t="shared" ca="1" si="341"/>
        <v>67</v>
      </c>
      <c r="H435" s="13">
        <f t="shared" ca="1" si="342"/>
        <v>14</v>
      </c>
      <c r="I435" s="28">
        <f t="shared" ca="1" si="343"/>
        <v>81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3.5" thickBot="1">
      <c r="A436" s="29" t="s">
        <v>12</v>
      </c>
      <c r="B436" s="30"/>
      <c r="C436" s="31">
        <f t="shared" ca="1" si="340"/>
        <v>0.36604873576684338</v>
      </c>
      <c r="D436" s="32" t="b">
        <f ca="1">AND(C436&gt;C434,C436&gt;C435)</f>
        <v>0</v>
      </c>
      <c r="E436" s="30" t="str">
        <f ca="1">IF(D436 = TRUE, IF(B433&lt;=$F$1, TRUE, FALSE), " ")</f>
        <v xml:space="preserve"> </v>
      </c>
      <c r="F436" s="30"/>
      <c r="G436" s="33">
        <f t="shared" ca="1" si="341"/>
        <v>0</v>
      </c>
      <c r="H436" s="33">
        <f t="shared" ca="1" si="342"/>
        <v>2</v>
      </c>
      <c r="I436" s="34">
        <f t="shared" ca="1" si="343"/>
        <v>2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2.75">
      <c r="A437" s="35"/>
      <c r="B437" s="4"/>
      <c r="C437" s="10"/>
      <c r="D437" s="4"/>
      <c r="E437" s="4"/>
      <c r="F437" s="4"/>
      <c r="G437" s="7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2.75">
      <c r="A438" s="4"/>
      <c r="B438" s="4"/>
      <c r="C438" s="3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2.75">
      <c r="A439" s="4"/>
      <c r="B439" s="4"/>
      <c r="C439" s="3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2.75">
      <c r="A440" s="4"/>
      <c r="B440" s="4"/>
      <c r="C440" s="3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2.75">
      <c r="A441" s="4"/>
      <c r="B441" s="4"/>
      <c r="C441" s="3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2.75">
      <c r="A442" s="4"/>
      <c r="B442" s="4"/>
      <c r="C442" s="3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2.75">
      <c r="A443" s="4"/>
      <c r="B443" s="4"/>
      <c r="C443" s="3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2.75">
      <c r="A444" s="4"/>
      <c r="B444" s="4"/>
      <c r="C444" s="3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2.75">
      <c r="A445" s="4"/>
      <c r="B445" s="4"/>
      <c r="C445" s="3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2.75">
      <c r="A446" s="4"/>
      <c r="B446" s="4"/>
      <c r="C446" s="3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2.75">
      <c r="A447" s="4"/>
      <c r="B447" s="4"/>
      <c r="C447" s="3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2.75">
      <c r="A448" s="4"/>
      <c r="B448" s="4"/>
      <c r="C448" s="3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2.75">
      <c r="A449" s="4"/>
      <c r="B449" s="4"/>
      <c r="C449" s="3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2.75">
      <c r="A450" s="4"/>
      <c r="B450" s="4"/>
      <c r="C450" s="3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2.75">
      <c r="A451" s="4"/>
      <c r="B451" s="4"/>
      <c r="C451" s="3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2.75">
      <c r="A452" s="4"/>
      <c r="B452" s="4"/>
      <c r="C452" s="3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2.75">
      <c r="A453" s="4"/>
      <c r="B453" s="4"/>
      <c r="C453" s="3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2.75">
      <c r="A454" s="4"/>
      <c r="B454" s="4"/>
      <c r="C454" s="3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2.75">
      <c r="A455" s="4"/>
      <c r="B455" s="4"/>
      <c r="C455" s="3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2.75">
      <c r="A456" s="4"/>
      <c r="B456" s="4"/>
      <c r="C456" s="3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2.75">
      <c r="A457" s="4"/>
      <c r="B457" s="4"/>
      <c r="C457" s="3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2.75">
      <c r="A458" s="4"/>
      <c r="B458" s="4"/>
      <c r="C458" s="3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2.75">
      <c r="A459" s="4"/>
      <c r="B459" s="4"/>
      <c r="C459" s="3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2.75">
      <c r="A460" s="4"/>
      <c r="B460" s="4"/>
      <c r="C460" s="3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2.75">
      <c r="A461" s="4"/>
      <c r="B461" s="4"/>
      <c r="C461" s="3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2.75">
      <c r="A462" s="4"/>
      <c r="B462" s="4"/>
      <c r="C462" s="3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2.75">
      <c r="A463" s="4"/>
      <c r="B463" s="4"/>
      <c r="C463" s="3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2.75">
      <c r="A464" s="4"/>
      <c r="B464" s="4"/>
      <c r="C464" s="3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2.75">
      <c r="A465" s="4"/>
      <c r="B465" s="4"/>
      <c r="C465" s="3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2.75">
      <c r="A466" s="4"/>
      <c r="B466" s="4"/>
      <c r="C466" s="3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2.75">
      <c r="A467" s="4"/>
      <c r="B467" s="4"/>
      <c r="C467" s="3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2.75">
      <c r="A468" s="4"/>
      <c r="B468" s="4"/>
      <c r="C468" s="3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2.75">
      <c r="A469" s="4"/>
      <c r="B469" s="4"/>
      <c r="C469" s="3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2.75">
      <c r="A470" s="4"/>
      <c r="B470" s="4"/>
      <c r="C470" s="3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2.75">
      <c r="A471" s="4"/>
      <c r="B471" s="4"/>
      <c r="C471" s="3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2.75">
      <c r="A472" s="4"/>
      <c r="B472" s="4"/>
      <c r="C472" s="3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2.75">
      <c r="A473" s="4"/>
      <c r="B473" s="4"/>
      <c r="C473" s="3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2.75">
      <c r="A474" s="4"/>
      <c r="B474" s="4"/>
      <c r="C474" s="3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2.75">
      <c r="A475" s="4"/>
      <c r="B475" s="4"/>
      <c r="C475" s="3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2.75">
      <c r="A476" s="4"/>
      <c r="B476" s="4"/>
      <c r="C476" s="3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2.75">
      <c r="A477" s="4"/>
      <c r="B477" s="4"/>
      <c r="C477" s="3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2.75">
      <c r="A478" s="4"/>
      <c r="B478" s="4"/>
      <c r="C478" s="3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2.75">
      <c r="A479" s="4"/>
      <c r="B479" s="4"/>
      <c r="C479" s="3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2.75">
      <c r="A480" s="4"/>
      <c r="B480" s="4"/>
      <c r="C480" s="3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2.75">
      <c r="A481" s="4"/>
      <c r="B481" s="4"/>
      <c r="C481" s="3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2.75">
      <c r="A482" s="4"/>
      <c r="B482" s="4"/>
      <c r="C482" s="3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2.75">
      <c r="A483" s="4"/>
      <c r="B483" s="4"/>
      <c r="C483" s="3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2.75">
      <c r="A484" s="4"/>
      <c r="B484" s="4"/>
      <c r="C484" s="3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2.75">
      <c r="A485" s="4"/>
      <c r="B485" s="4"/>
      <c r="C485" s="3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2.75">
      <c r="A486" s="4"/>
      <c r="B486" s="4"/>
      <c r="C486" s="3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2.75">
      <c r="A487" s="4"/>
      <c r="B487" s="4"/>
      <c r="C487" s="3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2.75">
      <c r="A488" s="4"/>
      <c r="B488" s="4"/>
      <c r="C488" s="3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2.75">
      <c r="A489" s="4"/>
      <c r="B489" s="4"/>
      <c r="C489" s="3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2.75">
      <c r="A490" s="4"/>
      <c r="B490" s="4"/>
      <c r="C490" s="3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2.75">
      <c r="A491" s="4"/>
      <c r="B491" s="4"/>
      <c r="C491" s="3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2.75">
      <c r="A492" s="4"/>
      <c r="B492" s="4"/>
      <c r="C492" s="3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2.75">
      <c r="A493" s="4"/>
      <c r="B493" s="4"/>
      <c r="C493" s="3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2.75">
      <c r="A494" s="4"/>
      <c r="B494" s="4"/>
      <c r="C494" s="3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2.75">
      <c r="A495" s="4"/>
      <c r="B495" s="4"/>
      <c r="C495" s="3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2.75">
      <c r="A496" s="4"/>
      <c r="B496" s="4"/>
      <c r="C496" s="3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2.75">
      <c r="A497" s="4"/>
      <c r="B497" s="4"/>
      <c r="C497" s="3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2.75">
      <c r="A498" s="4"/>
      <c r="B498" s="4"/>
      <c r="C498" s="3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2.75">
      <c r="A499" s="4"/>
      <c r="B499" s="4"/>
      <c r="C499" s="3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2.75">
      <c r="A500" s="4"/>
      <c r="B500" s="4"/>
      <c r="C500" s="3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2.75">
      <c r="A501" s="4"/>
      <c r="B501" s="4"/>
      <c r="C501" s="3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2.75">
      <c r="A502" s="4"/>
      <c r="B502" s="4"/>
      <c r="C502" s="3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2.75">
      <c r="A503" s="4"/>
      <c r="B503" s="4"/>
      <c r="C503" s="3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2.75">
      <c r="A504" s="4"/>
      <c r="B504" s="4"/>
      <c r="C504" s="3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2.75">
      <c r="A505" s="4"/>
      <c r="B505" s="4"/>
      <c r="C505" s="3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2.75">
      <c r="A506" s="4"/>
      <c r="B506" s="4"/>
      <c r="C506" s="3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2.75">
      <c r="A507" s="4"/>
      <c r="B507" s="4"/>
      <c r="C507" s="3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2.75">
      <c r="A508" s="4"/>
      <c r="B508" s="4"/>
      <c r="C508" s="3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2.75">
      <c r="A509" s="4"/>
      <c r="B509" s="4"/>
      <c r="C509" s="3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2.75">
      <c r="A510" s="4"/>
      <c r="B510" s="4"/>
      <c r="C510" s="3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2.75">
      <c r="A511" s="4"/>
      <c r="B511" s="4"/>
      <c r="C511" s="3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2.75">
      <c r="A512" s="4"/>
      <c r="B512" s="4"/>
      <c r="C512" s="3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2.75">
      <c r="A513" s="4"/>
      <c r="B513" s="4"/>
      <c r="C513" s="3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2.75">
      <c r="A514" s="4"/>
      <c r="B514" s="4"/>
      <c r="C514" s="3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2.75">
      <c r="A515" s="4"/>
      <c r="B515" s="4"/>
      <c r="C515" s="3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2.75">
      <c r="A516" s="4"/>
      <c r="B516" s="4"/>
      <c r="C516" s="3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2.75">
      <c r="A517" s="4"/>
      <c r="B517" s="4"/>
      <c r="C517" s="3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2.75">
      <c r="A518" s="4"/>
      <c r="B518" s="4"/>
      <c r="C518" s="3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2.75">
      <c r="A519" s="4"/>
      <c r="B519" s="4"/>
      <c r="C519" s="3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2.75">
      <c r="A520" s="4"/>
      <c r="B520" s="4"/>
      <c r="C520" s="3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2.75">
      <c r="A521" s="4"/>
      <c r="B521" s="4"/>
      <c r="C521" s="3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2.75">
      <c r="A522" s="4"/>
      <c r="B522" s="4"/>
      <c r="C522" s="3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2.75">
      <c r="A523" s="4"/>
      <c r="B523" s="4"/>
      <c r="C523" s="3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2.75">
      <c r="A524" s="4"/>
      <c r="B524" s="4"/>
      <c r="C524" s="3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2.75">
      <c r="A525" s="4"/>
      <c r="B525" s="4"/>
      <c r="C525" s="3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2.75">
      <c r="A526" s="4"/>
      <c r="B526" s="4"/>
      <c r="C526" s="3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2.75">
      <c r="A527" s="4"/>
      <c r="B527" s="4"/>
      <c r="C527" s="3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2.75">
      <c r="A528" s="4"/>
      <c r="B528" s="4"/>
      <c r="C528" s="3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2.75">
      <c r="A529" s="4"/>
      <c r="B529" s="4"/>
      <c r="C529" s="3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2.75">
      <c r="A530" s="4"/>
      <c r="B530" s="4"/>
      <c r="C530" s="3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2.75">
      <c r="A531" s="4"/>
      <c r="B531" s="4"/>
      <c r="C531" s="3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2.75">
      <c r="A532" s="4"/>
      <c r="B532" s="4"/>
      <c r="C532" s="3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2.75">
      <c r="A533" s="4"/>
      <c r="B533" s="4"/>
      <c r="C533" s="3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2.75">
      <c r="A534" s="4"/>
      <c r="B534" s="4"/>
      <c r="C534" s="3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2.75">
      <c r="A535" s="4"/>
      <c r="B535" s="4"/>
      <c r="C535" s="3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2.75">
      <c r="A536" s="4"/>
      <c r="B536" s="4"/>
      <c r="C536" s="3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2.75">
      <c r="A537" s="4"/>
      <c r="B537" s="4"/>
      <c r="C537" s="3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2.75">
      <c r="A538" s="4"/>
      <c r="B538" s="4"/>
      <c r="C538" s="3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2.75">
      <c r="A539" s="4"/>
      <c r="B539" s="4"/>
      <c r="C539" s="3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2.75">
      <c r="A540" s="4"/>
      <c r="B540" s="4"/>
      <c r="C540" s="3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2.75">
      <c r="A541" s="4"/>
      <c r="B541" s="4"/>
      <c r="C541" s="3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2.75">
      <c r="A542" s="4"/>
      <c r="B542" s="4"/>
      <c r="C542" s="3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2.75">
      <c r="A543" s="4"/>
      <c r="B543" s="4"/>
      <c r="C543" s="3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2.75">
      <c r="A544" s="4"/>
      <c r="B544" s="4"/>
      <c r="C544" s="3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2.75">
      <c r="A545" s="4"/>
      <c r="B545" s="4"/>
      <c r="C545" s="3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2.75">
      <c r="A546" s="4"/>
      <c r="B546" s="4"/>
      <c r="C546" s="3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2.75">
      <c r="A547" s="4"/>
      <c r="B547" s="4"/>
      <c r="C547" s="3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2.75">
      <c r="A548" s="4"/>
      <c r="B548" s="4"/>
      <c r="C548" s="3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2.75">
      <c r="A549" s="4"/>
      <c r="B549" s="4"/>
      <c r="C549" s="3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2.75">
      <c r="A550" s="4"/>
      <c r="B550" s="4"/>
      <c r="C550" s="3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2.75">
      <c r="A551" s="4"/>
      <c r="B551" s="4"/>
      <c r="C551" s="3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2.75">
      <c r="A552" s="4"/>
      <c r="B552" s="4"/>
      <c r="C552" s="3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2.75">
      <c r="A553" s="4"/>
      <c r="B553" s="4"/>
      <c r="C553" s="3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2.75">
      <c r="A554" s="4"/>
      <c r="B554" s="4"/>
      <c r="C554" s="3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2.75">
      <c r="A555" s="4"/>
      <c r="B555" s="4"/>
      <c r="C555" s="3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2.75">
      <c r="A556" s="4"/>
      <c r="B556" s="4"/>
      <c r="C556" s="3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2.75">
      <c r="A557" s="4"/>
      <c r="B557" s="4"/>
      <c r="C557" s="3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2.75">
      <c r="A558" s="4"/>
      <c r="B558" s="4"/>
      <c r="C558" s="3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2.75">
      <c r="A559" s="4"/>
      <c r="B559" s="4"/>
      <c r="C559" s="3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2.75">
      <c r="A560" s="4"/>
      <c r="B560" s="4"/>
      <c r="C560" s="3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2.75">
      <c r="A561" s="4"/>
      <c r="B561" s="4"/>
      <c r="C561" s="3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2.75">
      <c r="A562" s="4"/>
      <c r="B562" s="4"/>
      <c r="C562" s="3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2.75">
      <c r="A563" s="4"/>
      <c r="B563" s="4"/>
      <c r="C563" s="3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2.75">
      <c r="A564" s="4"/>
      <c r="B564" s="4"/>
      <c r="C564" s="3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2.75">
      <c r="A565" s="4"/>
      <c r="B565" s="4"/>
      <c r="C565" s="3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2.75">
      <c r="A566" s="4"/>
      <c r="B566" s="4"/>
      <c r="C566" s="3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2.75">
      <c r="A567" s="4"/>
      <c r="B567" s="4"/>
      <c r="C567" s="3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2.75">
      <c r="A568" s="4"/>
      <c r="B568" s="4"/>
      <c r="C568" s="3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2.75">
      <c r="A569" s="4"/>
      <c r="B569" s="4"/>
      <c r="C569" s="3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2.75">
      <c r="A570" s="4"/>
      <c r="B570" s="4"/>
      <c r="C570" s="3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2.75">
      <c r="A571" s="4"/>
      <c r="B571" s="4"/>
      <c r="C571" s="3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2.75">
      <c r="A572" s="4"/>
      <c r="B572" s="4"/>
      <c r="C572" s="3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2.75">
      <c r="A573" s="4"/>
      <c r="B573" s="4"/>
      <c r="C573" s="3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2.75">
      <c r="A574" s="4"/>
      <c r="B574" s="4"/>
      <c r="C574" s="3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2.75">
      <c r="A575" s="4"/>
      <c r="B575" s="4"/>
      <c r="C575" s="3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2.75">
      <c r="A576" s="4"/>
      <c r="B576" s="4"/>
      <c r="C576" s="3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2.75">
      <c r="A577" s="4"/>
      <c r="B577" s="4"/>
      <c r="C577" s="3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2.75">
      <c r="A578" s="4"/>
      <c r="B578" s="4"/>
      <c r="C578" s="3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2.75">
      <c r="A579" s="4"/>
      <c r="B579" s="4"/>
      <c r="C579" s="3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2.75">
      <c r="A580" s="4"/>
      <c r="B580" s="4"/>
      <c r="C580" s="3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2.75">
      <c r="A581" s="4"/>
      <c r="B581" s="4"/>
      <c r="C581" s="3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2.75">
      <c r="A582" s="4"/>
      <c r="B582" s="4"/>
      <c r="C582" s="3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2.75">
      <c r="A583" s="4"/>
      <c r="B583" s="4"/>
      <c r="C583" s="3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2.75">
      <c r="A584" s="4"/>
      <c r="B584" s="4"/>
      <c r="C584" s="3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2.75">
      <c r="A585" s="4"/>
      <c r="B585" s="4"/>
      <c r="C585" s="3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2.75">
      <c r="A586" s="4"/>
      <c r="B586" s="4"/>
      <c r="C586" s="3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2.75">
      <c r="A587" s="4"/>
      <c r="B587" s="4"/>
      <c r="C587" s="3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2.75">
      <c r="A588" s="4"/>
      <c r="B588" s="4"/>
      <c r="C588" s="3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2.75">
      <c r="A589" s="4"/>
      <c r="B589" s="4"/>
      <c r="C589" s="3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2.75">
      <c r="A590" s="4"/>
      <c r="B590" s="4"/>
      <c r="C590" s="3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2.75">
      <c r="A591" s="4"/>
      <c r="B591" s="4"/>
      <c r="C591" s="3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2.75">
      <c r="A592" s="4"/>
      <c r="B592" s="4"/>
      <c r="C592" s="3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2.75">
      <c r="A593" s="4"/>
      <c r="B593" s="4"/>
      <c r="C593" s="3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2.75">
      <c r="A594" s="4"/>
      <c r="B594" s="4"/>
      <c r="C594" s="3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2.75">
      <c r="A595" s="4"/>
      <c r="B595" s="4"/>
      <c r="C595" s="3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2.75">
      <c r="A596" s="4"/>
      <c r="B596" s="4"/>
      <c r="C596" s="3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2.75">
      <c r="A597" s="4"/>
      <c r="B597" s="4"/>
      <c r="C597" s="3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2.75">
      <c r="A598" s="4"/>
      <c r="B598" s="4"/>
      <c r="C598" s="3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2.75">
      <c r="A599" s="4"/>
      <c r="B599" s="4"/>
      <c r="C599" s="3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2.75">
      <c r="A600" s="4"/>
      <c r="B600" s="4"/>
      <c r="C600" s="3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2.75">
      <c r="A601" s="4"/>
      <c r="B601" s="4"/>
      <c r="C601" s="3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2.75">
      <c r="A602" s="4"/>
      <c r="B602" s="4"/>
      <c r="C602" s="3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2.75">
      <c r="A603" s="4"/>
      <c r="B603" s="4"/>
      <c r="C603" s="3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2.75">
      <c r="A604" s="4"/>
      <c r="B604" s="4"/>
      <c r="C604" s="3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2.75">
      <c r="A605" s="4"/>
      <c r="B605" s="4"/>
      <c r="C605" s="3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2.75">
      <c r="A606" s="4"/>
      <c r="B606" s="4"/>
      <c r="C606" s="3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2.75">
      <c r="A607" s="4"/>
      <c r="B607" s="4"/>
      <c r="C607" s="3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2.75">
      <c r="A608" s="4"/>
      <c r="B608" s="4"/>
      <c r="C608" s="3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2.75">
      <c r="A609" s="4"/>
      <c r="B609" s="4"/>
      <c r="C609" s="3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2.75">
      <c r="A610" s="4"/>
      <c r="B610" s="4"/>
      <c r="C610" s="3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2.75">
      <c r="A611" s="4"/>
      <c r="B611" s="4"/>
      <c r="C611" s="3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2.75">
      <c r="A612" s="4"/>
      <c r="B612" s="4"/>
      <c r="C612" s="3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2.75">
      <c r="A613" s="4"/>
      <c r="B613" s="4"/>
      <c r="C613" s="3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2.75">
      <c r="A614" s="4"/>
      <c r="B614" s="4"/>
      <c r="C614" s="3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2.75">
      <c r="A615" s="4"/>
      <c r="B615" s="4"/>
      <c r="C615" s="3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2.75">
      <c r="A616" s="4"/>
      <c r="B616" s="4"/>
      <c r="C616" s="3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2.75">
      <c r="A617" s="4"/>
      <c r="B617" s="4"/>
      <c r="C617" s="3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2.75">
      <c r="A618" s="4"/>
      <c r="B618" s="4"/>
      <c r="C618" s="3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2.75">
      <c r="A619" s="4"/>
      <c r="B619" s="4"/>
      <c r="C619" s="3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2.75">
      <c r="A620" s="4"/>
      <c r="B620" s="4"/>
      <c r="C620" s="3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2.75">
      <c r="A621" s="4"/>
      <c r="B621" s="4"/>
      <c r="C621" s="3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2.75">
      <c r="A622" s="4"/>
      <c r="B622" s="4"/>
      <c r="C622" s="3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2.75">
      <c r="A623" s="4"/>
      <c r="B623" s="4"/>
      <c r="C623" s="3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2.75">
      <c r="A624" s="4"/>
      <c r="B624" s="4"/>
      <c r="C624" s="3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2.75">
      <c r="A625" s="4"/>
      <c r="B625" s="4"/>
      <c r="C625" s="3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2.75">
      <c r="A626" s="4"/>
      <c r="B626" s="4"/>
      <c r="C626" s="3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2.75">
      <c r="A627" s="4"/>
      <c r="B627" s="4"/>
      <c r="C627" s="3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2.75">
      <c r="A628" s="4"/>
      <c r="B628" s="4"/>
      <c r="C628" s="3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2.75">
      <c r="A629" s="4"/>
      <c r="B629" s="4"/>
      <c r="C629" s="3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2.75">
      <c r="A630" s="4"/>
      <c r="B630" s="4"/>
      <c r="C630" s="3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2.75">
      <c r="A631" s="4"/>
      <c r="B631" s="4"/>
      <c r="C631" s="3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2.75">
      <c r="A632" s="4"/>
      <c r="B632" s="4"/>
      <c r="C632" s="3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2.75">
      <c r="A633" s="4"/>
      <c r="B633" s="4"/>
      <c r="C633" s="3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2.75">
      <c r="A634" s="4"/>
      <c r="B634" s="4"/>
      <c r="C634" s="3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2.75">
      <c r="A635" s="4"/>
      <c r="B635" s="4"/>
      <c r="C635" s="3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2.75">
      <c r="A636" s="4"/>
      <c r="B636" s="4"/>
      <c r="C636" s="3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2.75">
      <c r="A637" s="4"/>
      <c r="B637" s="4"/>
      <c r="C637" s="3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2.75">
      <c r="A638" s="4"/>
      <c r="B638" s="4"/>
      <c r="C638" s="3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2.75">
      <c r="A639" s="4"/>
      <c r="B639" s="4"/>
      <c r="C639" s="3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2.75">
      <c r="A640" s="4"/>
      <c r="B640" s="4"/>
      <c r="C640" s="3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2.75">
      <c r="A641" s="4"/>
      <c r="B641" s="4"/>
      <c r="C641" s="3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2.75">
      <c r="A642" s="4"/>
      <c r="B642" s="4"/>
      <c r="C642" s="3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2.75">
      <c r="A643" s="4"/>
      <c r="B643" s="4"/>
      <c r="C643" s="3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2.75">
      <c r="A644" s="4"/>
      <c r="B644" s="4"/>
      <c r="C644" s="3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2.75">
      <c r="A645" s="4"/>
      <c r="B645" s="4"/>
      <c r="C645" s="3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2.75">
      <c r="A646" s="4"/>
      <c r="B646" s="4"/>
      <c r="C646" s="3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2.75">
      <c r="A647" s="4"/>
      <c r="B647" s="4"/>
      <c r="C647" s="3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2.75">
      <c r="A648" s="4"/>
      <c r="B648" s="4"/>
      <c r="C648" s="3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2.75">
      <c r="A649" s="4"/>
      <c r="B649" s="4"/>
      <c r="C649" s="3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2.75">
      <c r="A650" s="4"/>
      <c r="B650" s="4"/>
      <c r="C650" s="3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2.75">
      <c r="A651" s="4"/>
      <c r="B651" s="4"/>
      <c r="C651" s="3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2.75">
      <c r="A652" s="4"/>
      <c r="B652" s="4"/>
      <c r="C652" s="3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2.75">
      <c r="A653" s="4"/>
      <c r="B653" s="4"/>
      <c r="C653" s="3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2.75">
      <c r="A654" s="4"/>
      <c r="B654" s="4"/>
      <c r="C654" s="3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2.75">
      <c r="A655" s="4"/>
      <c r="B655" s="4"/>
      <c r="C655" s="3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2.75">
      <c r="A656" s="4"/>
      <c r="B656" s="4"/>
      <c r="C656" s="3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2.75">
      <c r="A657" s="4"/>
      <c r="B657" s="4"/>
      <c r="C657" s="3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2.75">
      <c r="A658" s="4"/>
      <c r="B658" s="4"/>
      <c r="C658" s="3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2.75">
      <c r="A659" s="4"/>
      <c r="B659" s="4"/>
      <c r="C659" s="3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2.75">
      <c r="A660" s="4"/>
      <c r="B660" s="4"/>
      <c r="C660" s="3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2.75">
      <c r="A661" s="4"/>
      <c r="B661" s="4"/>
      <c r="C661" s="3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2.75">
      <c r="A662" s="4"/>
      <c r="B662" s="4"/>
      <c r="C662" s="3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2.75">
      <c r="A663" s="4"/>
      <c r="B663" s="4"/>
      <c r="C663" s="3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2.75">
      <c r="A664" s="4"/>
      <c r="B664" s="4"/>
      <c r="C664" s="3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2.75">
      <c r="A665" s="4"/>
      <c r="B665" s="4"/>
      <c r="C665" s="3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2.75">
      <c r="A666" s="4"/>
      <c r="B666" s="4"/>
      <c r="C666" s="3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2.75">
      <c r="A667" s="4"/>
      <c r="B667" s="4"/>
      <c r="C667" s="3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2.75">
      <c r="A668" s="4"/>
      <c r="B668" s="4"/>
      <c r="C668" s="3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2.75">
      <c r="A669" s="4"/>
      <c r="B669" s="4"/>
      <c r="C669" s="3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2.75">
      <c r="A670" s="4"/>
      <c r="B670" s="4"/>
      <c r="C670" s="3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2.75">
      <c r="A671" s="4"/>
      <c r="B671" s="4"/>
      <c r="C671" s="3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2.75">
      <c r="A672" s="4"/>
      <c r="B672" s="4"/>
      <c r="C672" s="3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2.75">
      <c r="A673" s="4"/>
      <c r="B673" s="4"/>
      <c r="C673" s="3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2.75">
      <c r="A674" s="4"/>
      <c r="B674" s="4"/>
      <c r="C674" s="3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2.75">
      <c r="A675" s="4"/>
      <c r="B675" s="4"/>
      <c r="C675" s="3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2.75">
      <c r="A676" s="4"/>
      <c r="B676" s="4"/>
      <c r="C676" s="3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2.75">
      <c r="A677" s="4"/>
      <c r="B677" s="4"/>
      <c r="C677" s="3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2.75">
      <c r="A678" s="4"/>
      <c r="B678" s="4"/>
      <c r="C678" s="3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2.75">
      <c r="A679" s="4"/>
      <c r="B679" s="4"/>
      <c r="C679" s="3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2.75">
      <c r="A680" s="4"/>
      <c r="B680" s="4"/>
      <c r="C680" s="3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2.75">
      <c r="A681" s="4"/>
      <c r="B681" s="4"/>
      <c r="C681" s="3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2.75">
      <c r="A682" s="4"/>
      <c r="B682" s="4"/>
      <c r="C682" s="3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2.75">
      <c r="A683" s="4"/>
      <c r="B683" s="4"/>
      <c r="C683" s="3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2.75">
      <c r="A684" s="4"/>
      <c r="B684" s="4"/>
      <c r="C684" s="3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2.75">
      <c r="A685" s="4"/>
      <c r="B685" s="4"/>
      <c r="C685" s="3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2.75">
      <c r="A686" s="4"/>
      <c r="B686" s="4"/>
      <c r="C686" s="3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2.75">
      <c r="A687" s="4"/>
      <c r="B687" s="4"/>
      <c r="C687" s="3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2.75">
      <c r="A688" s="4"/>
      <c r="B688" s="4"/>
      <c r="C688" s="3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2.75">
      <c r="A689" s="4"/>
      <c r="B689" s="4"/>
      <c r="C689" s="3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2.75">
      <c r="A690" s="4"/>
      <c r="B690" s="4"/>
      <c r="C690" s="3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2.75">
      <c r="A691" s="4"/>
      <c r="B691" s="4"/>
      <c r="C691" s="3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2.75">
      <c r="A692" s="4"/>
      <c r="B692" s="4"/>
      <c r="C692" s="3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2.75">
      <c r="A693" s="4"/>
      <c r="B693" s="4"/>
      <c r="C693" s="3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2.75">
      <c r="A694" s="4"/>
      <c r="B694" s="4"/>
      <c r="C694" s="3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2.75">
      <c r="A695" s="4"/>
      <c r="B695" s="4"/>
      <c r="C695" s="3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2.75">
      <c r="A696" s="4"/>
      <c r="B696" s="4"/>
      <c r="C696" s="3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2.75">
      <c r="A697" s="4"/>
      <c r="B697" s="4"/>
      <c r="C697" s="3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2.75">
      <c r="A698" s="4"/>
      <c r="B698" s="4"/>
      <c r="C698" s="3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2.75">
      <c r="A699" s="4"/>
      <c r="B699" s="4"/>
      <c r="C699" s="3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2.75">
      <c r="A700" s="4"/>
      <c r="B700" s="4"/>
      <c r="C700" s="3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2.75">
      <c r="A701" s="4"/>
      <c r="B701" s="4"/>
      <c r="C701" s="3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2.75">
      <c r="A702" s="4"/>
      <c r="B702" s="4"/>
      <c r="C702" s="3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2.75">
      <c r="A703" s="4"/>
      <c r="B703" s="4"/>
      <c r="C703" s="3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2.75">
      <c r="A704" s="4"/>
      <c r="B704" s="4"/>
      <c r="C704" s="3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2.75">
      <c r="A705" s="4"/>
      <c r="B705" s="4"/>
      <c r="C705" s="3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2.75">
      <c r="A706" s="4"/>
      <c r="B706" s="4"/>
      <c r="C706" s="3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2.75">
      <c r="A707" s="4"/>
      <c r="B707" s="4"/>
      <c r="C707" s="3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2.75">
      <c r="A708" s="4"/>
      <c r="B708" s="4"/>
      <c r="C708" s="3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2.75">
      <c r="A709" s="4"/>
      <c r="B709" s="4"/>
      <c r="C709" s="3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2.75">
      <c r="A710" s="4"/>
      <c r="B710" s="4"/>
      <c r="C710" s="3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2.75">
      <c r="A711" s="4"/>
      <c r="B711" s="4"/>
      <c r="C711" s="3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2.75">
      <c r="A712" s="4"/>
      <c r="B712" s="4"/>
      <c r="C712" s="3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2.75">
      <c r="A713" s="4"/>
      <c r="B713" s="4"/>
      <c r="C713" s="3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2.75">
      <c r="A714" s="4"/>
      <c r="B714" s="4"/>
      <c r="C714" s="3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2.75">
      <c r="A715" s="4"/>
      <c r="B715" s="4"/>
      <c r="C715" s="3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2.75">
      <c r="A716" s="4"/>
      <c r="B716" s="4"/>
      <c r="C716" s="3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2.75">
      <c r="A717" s="4"/>
      <c r="B717" s="4"/>
      <c r="C717" s="3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2.75">
      <c r="A718" s="4"/>
      <c r="B718" s="4"/>
      <c r="C718" s="3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2.75">
      <c r="A719" s="4"/>
      <c r="B719" s="4"/>
      <c r="C719" s="3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2.75">
      <c r="A720" s="4"/>
      <c r="B720" s="4"/>
      <c r="C720" s="3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2.75">
      <c r="A721" s="4"/>
      <c r="B721" s="4"/>
      <c r="C721" s="3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2.75">
      <c r="A722" s="4"/>
      <c r="B722" s="4"/>
      <c r="C722" s="3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2.75">
      <c r="A723" s="4"/>
      <c r="B723" s="4"/>
      <c r="C723" s="3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2.75">
      <c r="A724" s="4"/>
      <c r="B724" s="4"/>
      <c r="C724" s="3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2.75">
      <c r="A725" s="4"/>
      <c r="B725" s="4"/>
      <c r="C725" s="3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2.75">
      <c r="A726" s="4"/>
      <c r="B726" s="4"/>
      <c r="C726" s="3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2.75">
      <c r="A727" s="4"/>
      <c r="B727" s="4"/>
      <c r="C727" s="3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2.75">
      <c r="A728" s="4"/>
      <c r="B728" s="4"/>
      <c r="C728" s="3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2.75">
      <c r="A729" s="4"/>
      <c r="B729" s="4"/>
      <c r="C729" s="3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2.75">
      <c r="A730" s="4"/>
      <c r="B730" s="4"/>
      <c r="C730" s="3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2.75">
      <c r="A731" s="4"/>
      <c r="B731" s="4"/>
      <c r="C731" s="3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2.75">
      <c r="A732" s="4"/>
      <c r="B732" s="4"/>
      <c r="C732" s="3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2.75">
      <c r="A733" s="4"/>
      <c r="B733" s="4"/>
      <c r="C733" s="3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2.75">
      <c r="A734" s="4"/>
      <c r="B734" s="4"/>
      <c r="C734" s="3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2.75">
      <c r="A735" s="4"/>
      <c r="B735" s="4"/>
      <c r="C735" s="3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2.75">
      <c r="A736" s="4"/>
      <c r="B736" s="4"/>
      <c r="C736" s="3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2.75">
      <c r="A737" s="4"/>
      <c r="B737" s="4"/>
      <c r="C737" s="3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2.75">
      <c r="A738" s="4"/>
      <c r="B738" s="4"/>
      <c r="C738" s="3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2.75">
      <c r="A739" s="4"/>
      <c r="B739" s="4"/>
      <c r="C739" s="3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2.75">
      <c r="A740" s="4"/>
      <c r="B740" s="4"/>
      <c r="C740" s="3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2.75">
      <c r="A741" s="4"/>
      <c r="B741" s="4"/>
      <c r="C741" s="3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2.75">
      <c r="A742" s="4"/>
      <c r="B742" s="4"/>
      <c r="C742" s="3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2.75">
      <c r="A743" s="4"/>
      <c r="B743" s="4"/>
      <c r="C743" s="3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2.75">
      <c r="A744" s="4"/>
      <c r="B744" s="4"/>
      <c r="C744" s="3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2.75">
      <c r="A745" s="4"/>
      <c r="B745" s="4"/>
      <c r="C745" s="3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2.75">
      <c r="A746" s="4"/>
      <c r="B746" s="4"/>
      <c r="C746" s="3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2.75">
      <c r="A747" s="4"/>
      <c r="B747" s="4"/>
      <c r="C747" s="3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2.75">
      <c r="A748" s="4"/>
      <c r="B748" s="4"/>
      <c r="C748" s="3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2.75">
      <c r="A749" s="4"/>
      <c r="B749" s="4"/>
      <c r="C749" s="3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2.75">
      <c r="A750" s="4"/>
      <c r="B750" s="4"/>
      <c r="C750" s="3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2.75">
      <c r="A751" s="4"/>
      <c r="B751" s="4"/>
      <c r="C751" s="3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2.75">
      <c r="A752" s="4"/>
      <c r="B752" s="4"/>
      <c r="C752" s="3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2.75">
      <c r="A753" s="4"/>
      <c r="B753" s="4"/>
      <c r="C753" s="3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2.75">
      <c r="A754" s="4"/>
      <c r="B754" s="4"/>
      <c r="C754" s="3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2.75">
      <c r="A755" s="4"/>
      <c r="B755" s="4"/>
      <c r="C755" s="3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</sheetData>
  <conditionalFormatting sqref="I9:I437">
    <cfRule type="colorScale" priority="1">
      <colorScale>
        <cfvo type="min"/>
        <cfvo type="max"/>
        <color rgb="FFFFFFFF"/>
        <color rgb="FF57BB8A"/>
      </colorScale>
    </cfRule>
  </conditionalFormatting>
  <conditionalFormatting sqref="D3:D437">
    <cfRule type="containsText" dxfId="0" priority="2" operator="containsText" text="true">
      <formula>NOT(ISERROR(SEARCH(("true"),(D3))))</formula>
    </cfRule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thompson_sampling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TRCko</cp:lastModifiedBy>
  <dcterms:modified xsi:type="dcterms:W3CDTF">2023-06-13T04:58:26Z</dcterms:modified>
</cp:coreProperties>
</file>